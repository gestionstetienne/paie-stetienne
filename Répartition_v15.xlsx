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nique\Downloads\"/>
    </mc:Choice>
  </mc:AlternateContent>
  <xr:revisionPtr revIDLastSave="0" documentId="13_ncr:1_{548C3F60-13BA-4BA4-B7B3-34F45D0766CC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Semaine du 6 au 17 avril" sheetId="1" r:id="rId1"/>
    <sheet name="Heures et proportions" sheetId="2" r:id="rId2"/>
  </sheets>
  <calcPr calcId="181029"/>
</workbook>
</file>

<file path=xl/calcChain.xml><?xml version="1.0" encoding="utf-8"?>
<calcChain xmlns="http://schemas.openxmlformats.org/spreadsheetml/2006/main">
  <c r="U60" i="2" l="1"/>
  <c r="U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W50" i="2" s="1"/>
  <c r="D58" i="2"/>
  <c r="C58" i="2"/>
  <c r="S56" i="2"/>
  <c r="R56" i="2"/>
  <c r="Q56" i="2"/>
  <c r="Q60" i="2" s="1"/>
  <c r="P56" i="2"/>
  <c r="P60" i="2" s="1"/>
  <c r="O56" i="2"/>
  <c r="O60" i="2" s="1"/>
  <c r="N56" i="2"/>
  <c r="N60" i="2" s="1"/>
  <c r="M56" i="2"/>
  <c r="M60" i="2" s="1"/>
  <c r="L56" i="2"/>
  <c r="L60" i="2" s="1"/>
  <c r="K56" i="2"/>
  <c r="K60" i="2" s="1"/>
  <c r="J56" i="2"/>
  <c r="J60" i="2" s="1"/>
  <c r="I56" i="2"/>
  <c r="I60" i="2" s="1"/>
  <c r="H56" i="2"/>
  <c r="H60" i="2" s="1"/>
  <c r="G56" i="2"/>
  <c r="G60" i="2" s="1"/>
  <c r="F56" i="2"/>
  <c r="F60" i="2" s="1"/>
  <c r="E56" i="2"/>
  <c r="E60" i="2" s="1"/>
  <c r="D56" i="2"/>
  <c r="D60" i="2" s="1"/>
  <c r="C56" i="2"/>
  <c r="C60" i="2" s="1"/>
  <c r="S54" i="2"/>
  <c r="S60" i="2" s="1"/>
  <c r="R54" i="2"/>
  <c r="R60" i="2" s="1"/>
  <c r="T53" i="2"/>
  <c r="T52" i="2"/>
  <c r="T51" i="2"/>
  <c r="V50" i="2"/>
  <c r="T50" i="2"/>
  <c r="T49" i="2"/>
  <c r="T48" i="2"/>
  <c r="T47" i="2"/>
  <c r="T46" i="2"/>
  <c r="T45" i="2"/>
  <c r="T44" i="2"/>
  <c r="T43" i="2"/>
  <c r="W42" i="2"/>
  <c r="V42" i="2"/>
  <c r="V60" i="2" s="1"/>
  <c r="T42" i="2"/>
  <c r="T41" i="2"/>
  <c r="T40" i="2"/>
  <c r="T39" i="2"/>
  <c r="T38" i="2"/>
  <c r="T37" i="2"/>
  <c r="T36" i="2"/>
  <c r="T35" i="2"/>
  <c r="T34" i="2"/>
  <c r="T58" i="2" s="1"/>
  <c r="T32" i="2"/>
  <c r="T31" i="2"/>
  <c r="T30" i="2"/>
  <c r="T29" i="2"/>
  <c r="T28" i="2"/>
  <c r="T27" i="2"/>
  <c r="T26" i="2"/>
  <c r="T25" i="2"/>
  <c r="T24" i="2"/>
  <c r="T23" i="2"/>
  <c r="T22" i="2"/>
  <c r="T21" i="2"/>
  <c r="T56" i="2" s="1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4" i="2" s="1"/>
  <c r="O60" i="1"/>
  <c r="I60" i="1"/>
  <c r="C60" i="1"/>
  <c r="W58" i="1"/>
  <c r="V58" i="1"/>
  <c r="U58" i="1"/>
  <c r="T58" i="1"/>
  <c r="S58" i="1"/>
  <c r="R58" i="1"/>
  <c r="Q58" i="1"/>
  <c r="P58" i="1"/>
  <c r="O58" i="1"/>
  <c r="N58" i="1"/>
  <c r="M58" i="1"/>
  <c r="L58" i="1"/>
  <c r="L60" i="1" s="1"/>
  <c r="K58" i="1"/>
  <c r="J58" i="1"/>
  <c r="I58" i="1"/>
  <c r="H58" i="1"/>
  <c r="G58" i="1"/>
  <c r="F58" i="1"/>
  <c r="F60" i="1" s="1"/>
  <c r="E58" i="1"/>
  <c r="D58" i="1"/>
  <c r="C58" i="1"/>
  <c r="W56" i="1"/>
  <c r="V56" i="1"/>
  <c r="U56" i="1"/>
  <c r="T56" i="1"/>
  <c r="S56" i="1"/>
  <c r="R56" i="1"/>
  <c r="Q56" i="1"/>
  <c r="Q60" i="1" s="1"/>
  <c r="P56" i="1"/>
  <c r="P60" i="1" s="1"/>
  <c r="O56" i="1"/>
  <c r="N56" i="1"/>
  <c r="N60" i="1" s="1"/>
  <c r="M56" i="1"/>
  <c r="M60" i="1" s="1"/>
  <c r="L56" i="1"/>
  <c r="K56" i="1"/>
  <c r="K60" i="1" s="1"/>
  <c r="J56" i="1"/>
  <c r="J60" i="1" s="1"/>
  <c r="I56" i="1"/>
  <c r="H56" i="1"/>
  <c r="H60" i="1" s="1"/>
  <c r="G56" i="1"/>
  <c r="G60" i="1" s="1"/>
  <c r="F56" i="1"/>
  <c r="E56" i="1"/>
  <c r="E60" i="1" s="1"/>
  <c r="D56" i="1"/>
  <c r="D60" i="1" s="1"/>
  <c r="C56" i="1"/>
  <c r="W54" i="1"/>
  <c r="W60" i="1" s="1"/>
  <c r="V54" i="1"/>
  <c r="V60" i="1" s="1"/>
  <c r="U54" i="1"/>
  <c r="U60" i="1" s="1"/>
  <c r="T54" i="1"/>
  <c r="T60" i="1" s="1"/>
  <c r="S54" i="1"/>
  <c r="S60" i="1" s="1"/>
  <c r="R54" i="1"/>
  <c r="R60" i="1" s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58" i="1" s="1"/>
  <c r="X35" i="1"/>
  <c r="X34" i="1"/>
  <c r="X32" i="1"/>
  <c r="X31" i="1"/>
  <c r="X30" i="1"/>
  <c r="X29" i="1"/>
  <c r="X28" i="1"/>
  <c r="X27" i="1"/>
  <c r="X26" i="1"/>
  <c r="X25" i="1"/>
  <c r="X24" i="1"/>
  <c r="X23" i="1"/>
  <c r="X22" i="1"/>
  <c r="X21" i="1"/>
  <c r="X56" i="1" s="1"/>
  <c r="X19" i="1"/>
  <c r="X18" i="1"/>
  <c r="X17" i="1"/>
  <c r="X16" i="1"/>
  <c r="X15" i="1"/>
  <c r="X14" i="1"/>
  <c r="X13" i="1"/>
  <c r="X12" i="1"/>
  <c r="X11" i="1"/>
  <c r="X10" i="1"/>
  <c r="X54" i="1" s="1"/>
  <c r="X60" i="1" s="1"/>
  <c r="X9" i="1"/>
  <c r="X8" i="1"/>
  <c r="X7" i="1"/>
  <c r="X6" i="1"/>
  <c r="T60" i="2" l="1"/>
  <c r="W60" i="2"/>
  <c r="V58" i="2"/>
  <c r="W58" i="2"/>
</calcChain>
</file>

<file path=xl/sharedStrings.xml><?xml version="1.0" encoding="utf-8"?>
<sst xmlns="http://schemas.openxmlformats.org/spreadsheetml/2006/main" count="294" uniqueCount="83">
  <si>
    <t>FEUILLE DE PAIE — DÉTAIL  ·  6 au 17 avril 2026</t>
  </si>
  <si>
    <t>Personnel</t>
  </si>
  <si>
    <t>Dre Marie-Michèle Moreau</t>
  </si>
  <si>
    <t>Dre Catherine Gagnon</t>
  </si>
  <si>
    <t>Dre Marie Côté</t>
  </si>
  <si>
    <t>Dr Aymeric Bherer</t>
  </si>
  <si>
    <t>Dre Kelly-Ann Grondin</t>
  </si>
  <si>
    <t>Administration</t>
  </si>
  <si>
    <t>Formation</t>
  </si>
  <si>
    <t>Total général
de la ligne</t>
  </si>
  <si>
    <t>Catégorie</t>
  </si>
  <si>
    <t>Employée</t>
  </si>
  <si>
    <t>Sem 1</t>
  </si>
  <si>
    <t>Sem 2</t>
  </si>
  <si>
    <t>Total</t>
  </si>
  <si>
    <t>Semaines du 06 avr au 17 avr 2026</t>
  </si>
  <si>
    <t>06 avr–10 avr</t>
  </si>
  <si>
    <t>13 avr–17 avr</t>
  </si>
  <si>
    <t xml:space="preserve">  ▸  ADMINISTRATION</t>
  </si>
  <si>
    <t>Anne G.</t>
  </si>
  <si>
    <t>Anne G. 2e soir</t>
  </si>
  <si>
    <t>Annick</t>
  </si>
  <si>
    <t>Annick 2e soir</t>
  </si>
  <si>
    <t>Céline</t>
  </si>
  <si>
    <t>Céline 2e soir</t>
  </si>
  <si>
    <t>Josée</t>
  </si>
  <si>
    <t>Josée 2e soir</t>
  </si>
  <si>
    <t>Marie Claude</t>
  </si>
  <si>
    <t>Marie Claude 2e soir</t>
  </si>
  <si>
    <t>Nancy P.</t>
  </si>
  <si>
    <t>Nancy P. 2e soir</t>
  </si>
  <si>
    <t>Philippe Girard</t>
  </si>
  <si>
    <t>Philippe Girard 2e soir</t>
  </si>
  <si>
    <t xml:space="preserve">  ▸  ASSISTANTE</t>
  </si>
  <si>
    <t>Assistante</t>
  </si>
  <si>
    <t>Audrey Demers</t>
  </si>
  <si>
    <t>Audrey Demers 2e soir</t>
  </si>
  <si>
    <t>Élizabeth</t>
  </si>
  <si>
    <t>Élizabeth 2e soir</t>
  </si>
  <si>
    <t>Éléonore</t>
  </si>
  <si>
    <t>Éléonore 2e soir</t>
  </si>
  <si>
    <t>Isabelle</t>
  </si>
  <si>
    <t>Isabelle 2e soir</t>
  </si>
  <si>
    <t>Mélissa</t>
  </si>
  <si>
    <t>Mélissa 2e soir</t>
  </si>
  <si>
    <t>Nancy Guillemette</t>
  </si>
  <si>
    <t>Nancy Guillemette 2e soir</t>
  </si>
  <si>
    <t xml:space="preserve">  ▸  HYGIÉNISTE</t>
  </si>
  <si>
    <t>Hygiéniste</t>
  </si>
  <si>
    <t>Chantal</t>
  </si>
  <si>
    <t>Chantal 2e soir</t>
  </si>
  <si>
    <t>Jessica</t>
  </si>
  <si>
    <t>Jessica 2e soir</t>
  </si>
  <si>
    <t>Lison</t>
  </si>
  <si>
    <t>Lison 2e soir</t>
  </si>
  <si>
    <t>Manon</t>
  </si>
  <si>
    <t>Manon 2e soir</t>
  </si>
  <si>
    <t>Marie-Ève M.</t>
  </si>
  <si>
    <t>Marie-Ève M. 2e soir</t>
  </si>
  <si>
    <t>Marilyn</t>
  </si>
  <si>
    <t>Marilyn 2e soir</t>
  </si>
  <si>
    <t>Mélanie</t>
  </si>
  <si>
    <t>Mélanie 2e soir</t>
  </si>
  <si>
    <t>Myriam</t>
  </si>
  <si>
    <t>Myriam 2e soir</t>
  </si>
  <si>
    <t>Nancy V.</t>
  </si>
  <si>
    <t>Nancy V. 2e soir</t>
  </si>
  <si>
    <t>Sabrina</t>
  </si>
  <si>
    <t>Sabrina 2e soir</t>
  </si>
  <si>
    <t>TOTAL ADMINISTRATION</t>
  </si>
  <si>
    <t>TOTAL ASSISTANTE</t>
  </si>
  <si>
    <t>TOTAL HYGIÉNISTE</t>
  </si>
  <si>
    <t>TOTAL GÉNÉRAL</t>
  </si>
  <si>
    <t>HEURES ET PROPORTIONS MMM / CG  ·  6 au 17 avril 2026</t>
  </si>
  <si>
    <t>Calcul heures supplémentaires (hygiénistes &gt;60h)</t>
  </si>
  <si>
    <t>Total
général</t>
  </si>
  <si>
    <t>Excédent
&gt;60h</t>
  </si>
  <si>
    <t>→ Dre Moreau</t>
  </si>
  <si>
    <t>→ Dre Gagnon</t>
  </si>
  <si>
    <t>Note</t>
  </si>
  <si>
    <t>Ratio = E(Total Hyg)/(E+H Total Hyg) — calculé dynamiquement</t>
  </si>
  <si>
    <t>Total groupé=62.50h</t>
  </si>
  <si>
    <t>Total groupé=63.42h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</si>
</sst>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rial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3B2A00"/>
      <name val="Calibri"/>
    </font>
    <font>
      <sz val="11"/>
      <color theme="1"/>
      <name val="Calibri"/>
    </font>
    <font>
      <i/>
      <sz val="8"/>
      <color rgb="FF888888"/>
      <name val="Calibri"/>
    </font>
    <font>
      <i/>
      <sz val="7"/>
      <color rgb="FF777777"/>
      <name val="Calibri"/>
    </font>
    <font>
      <sz val="9"/>
      <color rgb="FF000000"/>
      <name val="Calibri"/>
    </font>
    <font>
      <i/>
      <sz val="8"/>
      <color rgb="FFAAAAAA"/>
      <name val="Calibri"/>
    </font>
    <font>
      <sz val="10"/>
      <color rgb="FF111111"/>
      <name val="Calibri"/>
    </font>
    <font>
      <b/>
      <sz val="9"/>
      <color rgb="FF1C3557"/>
      <name val="Calibri"/>
    </font>
    <font>
      <i/>
      <sz val="10"/>
      <color rgb="FF555555"/>
      <name val="Calibri"/>
    </font>
    <font>
      <b/>
      <sz val="9"/>
      <color rgb="FF000000"/>
      <name val="Calibri"/>
    </font>
    <font>
      <sz val="9"/>
      <color theme="1"/>
      <name val="Calibri"/>
    </font>
    <font>
      <b/>
      <sz val="10"/>
      <color rgb="FF000000"/>
      <name val="Calibri"/>
    </font>
    <font>
      <b/>
      <sz val="10"/>
      <color rgb="FF3B2A00"/>
      <name val="Calibri"/>
    </font>
    <font>
      <b/>
      <sz val="11"/>
      <color rgb="FFFFFFFF"/>
      <name val="Calibri"/>
    </font>
    <font>
      <b/>
      <sz val="11"/>
      <color rgb="FF3B2A00"/>
      <name val="Calibri"/>
    </font>
    <font>
      <b/>
      <sz val="9"/>
      <color theme="1"/>
      <name val="Calibri"/>
    </font>
    <font>
      <b/>
      <sz val="9"/>
      <color rgb="FFC55A11"/>
      <name val="Calibri"/>
    </font>
    <font>
      <b/>
      <sz val="9"/>
      <color rgb="FFD4AC0D"/>
      <name val="Calibri"/>
    </font>
    <font>
      <b/>
      <sz val="9"/>
      <color rgb="FF1565C0"/>
      <name val="Calibri"/>
    </font>
    <font>
      <sz val="11"/>
      <color theme="1"/>
      <name val="Arial"/>
      <scheme val="minor"/>
    </font>
    <font>
      <b/>
      <sz val="9"/>
      <color rgb="FFFFFFFF"/>
      <name val="Calibri"/>
    </font>
    <font>
      <i/>
      <sz val="7"/>
      <color rgb="FF777777"/>
      <name val="Calibri"/>
    </font>
    <font>
      <sz val="9"/>
      <color rgb="FF000000"/>
      <name val="Calibri"/>
    </font>
    <font>
      <b/>
      <sz val="10"/>
      <color rgb="FFFFFFFF"/>
      <name val="Calibri"/>
    </font>
    <font>
      <b/>
      <sz val="9"/>
      <color rgb="FF1C3557"/>
      <name val="Calibri"/>
    </font>
    <font>
      <b/>
      <sz val="11"/>
      <color rgb="FFFFFFFF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1C3557"/>
        <bgColor rgb="FF1C3557"/>
      </patternFill>
    </fill>
    <fill>
      <patternFill patternType="solid">
        <fgColor rgb="FFD4AC0D"/>
        <bgColor rgb="FFD4AC0D"/>
      </patternFill>
    </fill>
    <fill>
      <patternFill patternType="solid">
        <fgColor rgb="FF1565C0"/>
        <bgColor rgb="FF1565C0"/>
      </patternFill>
    </fill>
    <fill>
      <patternFill patternType="solid">
        <fgColor rgb="FFE65100"/>
        <bgColor rgb="FFE65100"/>
      </patternFill>
    </fill>
    <fill>
      <patternFill patternType="solid">
        <fgColor rgb="FF546E7A"/>
        <bgColor rgb="FF546E7A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2C4770"/>
        <bgColor rgb="FF2C4770"/>
      </patternFill>
    </fill>
    <fill>
      <patternFill patternType="solid">
        <fgColor rgb="FFEBF2FB"/>
        <bgColor rgb="FFEBF2FB"/>
      </patternFill>
    </fill>
    <fill>
      <patternFill patternType="solid">
        <fgColor rgb="FFFFFDE7"/>
        <bgColor rgb="FFFFFDE7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ECEFF1"/>
        <bgColor rgb="FFECEFF1"/>
      </patternFill>
    </fill>
    <fill>
      <patternFill patternType="solid">
        <fgColor rgb="FFC8E6C9"/>
        <bgColor rgb="FFC8E6C9"/>
      </patternFill>
    </fill>
    <fill>
      <patternFill patternType="solid">
        <fgColor rgb="FFF0F0F0"/>
        <bgColor rgb="FFF0F0F0"/>
      </patternFill>
    </fill>
    <fill>
      <patternFill patternType="solid">
        <fgColor rgb="FFEEF7EC"/>
        <bgColor rgb="FFEEF7EC"/>
      </patternFill>
    </fill>
    <fill>
      <patternFill patternType="solid">
        <fgColor rgb="FFFFF8ED"/>
        <bgColor rgb="FFFFF8ED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375623"/>
        <bgColor rgb="FF375623"/>
      </patternFill>
    </fill>
    <fill>
      <patternFill patternType="solid">
        <fgColor rgb="FFFFE699"/>
        <bgColor rgb="FFFFE699"/>
      </patternFill>
    </fill>
    <fill>
      <patternFill patternType="solid">
        <fgColor rgb="FF7B3F00"/>
        <bgColor rgb="FF7B3F00"/>
      </patternFill>
    </fill>
    <fill>
      <patternFill patternType="solid">
        <fgColor rgb="FF0A1F3A"/>
        <bgColor rgb="FF0A1F3A"/>
      </patternFill>
    </fill>
    <fill>
      <patternFill patternType="solid">
        <fgColor rgb="FF2E7D32"/>
        <bgColor rgb="FF2E7D32"/>
      </patternFill>
    </fill>
    <fill>
      <patternFill patternType="solid">
        <fgColor rgb="FFC55A11"/>
        <bgColor rgb="FFC55A11"/>
      </patternFill>
    </fill>
    <fill>
      <patternFill patternType="solid">
        <fgColor rgb="FFFFF0E6"/>
        <bgColor rgb="FFFFF0E6"/>
      </patternFill>
    </fill>
    <fill>
      <patternFill patternType="solid">
        <fgColor rgb="FF073763"/>
        <bgColor rgb="FF073763"/>
      </patternFill>
    </fill>
    <fill>
      <patternFill patternType="solid">
        <fgColor rgb="FF374151"/>
      </patternFill>
    </fill>
    <fill>
      <patternFill patternType="solid">
        <fgColor rgb="FF7C3AED"/>
      </patternFill>
    </fill>
    <fill>
      <patternFill patternType="solid">
        <fgColor rgb="FF1C3557"/>
      </patternFill>
    </fill>
    <fill>
      <patternFill patternType="solid">
        <fgColor rgb="FF2C4770"/>
      </patternFill>
    </fill>
    <fill>
      <patternFill patternType="solid">
        <fgColor rgb="FFF3F4F6"/>
      </patternFill>
    </fill>
    <fill>
      <patternFill patternType="solid">
        <fgColor rgb="FFEDE9FE"/>
      </patternFill>
    </fill>
    <fill>
      <patternFill patternType="solid">
        <fgColor rgb="FFEBF2FB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EF7EC"/>
      </patternFill>
    </fill>
    <fill>
      <patternFill patternType="solid">
        <fgColor rgb="FFFFF8ED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0A1F3A"/>
      </patternFill>
    </fill>
    <fill>
      <patternFill patternType="solid">
        <fgColor rgb="FFF0F0F0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/>
      <bottom/>
      <diagonal/>
    </border>
    <border>
      <left style="thick">
        <color rgb="FF444444"/>
      </left>
      <right style="thick">
        <color rgb="FF444444"/>
      </right>
      <top style="thick">
        <color rgb="FF444444"/>
      </top>
      <bottom style="thick">
        <color rgb="FF444444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ck">
        <color rgb="FF444444"/>
      </left>
      <right style="thick">
        <color rgb="FF444444"/>
      </right>
      <top style="thick">
        <color rgb="FF444444"/>
      </top>
      <bottom style="thick">
        <color rgb="FF444444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10" borderId="1" xfId="0" applyFont="1" applyFill="1" applyBorder="1"/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5" fillId="16" borderId="1" xfId="0" applyFont="1" applyFill="1" applyBorder="1"/>
    <xf numFmtId="4" fontId="8" fillId="16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left" vertical="center"/>
    </xf>
    <xf numFmtId="4" fontId="8" fillId="11" borderId="1" xfId="0" applyNumberFormat="1" applyFont="1" applyFill="1" applyBorder="1" applyAlignment="1">
      <alignment horizontal="center" vertical="center"/>
    </xf>
    <xf numFmtId="4" fontId="13" fillId="11" borderId="1" xfId="0" applyNumberFormat="1" applyFont="1" applyFill="1" applyBorder="1" applyAlignment="1">
      <alignment horizontal="center" vertical="center"/>
    </xf>
    <xf numFmtId="4" fontId="8" fillId="12" borderId="1" xfId="0" applyNumberFormat="1" applyFont="1" applyFill="1" applyBorder="1" applyAlignment="1">
      <alignment horizontal="center" vertical="center"/>
    </xf>
    <xf numFmtId="4" fontId="8" fillId="13" borderId="1" xfId="0" applyNumberFormat="1" applyFont="1" applyFill="1" applyBorder="1" applyAlignment="1">
      <alignment horizontal="center" vertical="center"/>
    </xf>
    <xf numFmtId="4" fontId="8" fillId="14" borderId="1" xfId="0" applyNumberFormat="1" applyFont="1" applyFill="1" applyBorder="1" applyAlignment="1">
      <alignment horizontal="center" vertical="center"/>
    </xf>
    <xf numFmtId="4" fontId="8" fillId="15" borderId="1" xfId="0" applyNumberFormat="1" applyFont="1" applyFill="1" applyBorder="1" applyAlignment="1">
      <alignment horizontal="center" vertical="center"/>
    </xf>
    <xf numFmtId="4" fontId="11" fillId="17" borderId="1" xfId="0" applyNumberFormat="1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left" vertical="center"/>
    </xf>
    <xf numFmtId="4" fontId="13" fillId="13" borderId="1" xfId="0" applyNumberFormat="1" applyFont="1" applyFill="1" applyBorder="1" applyAlignment="1">
      <alignment horizontal="center" vertical="center"/>
    </xf>
    <xf numFmtId="4" fontId="14" fillId="11" borderId="1" xfId="0" applyNumberFormat="1" applyFont="1" applyFill="1" applyBorder="1" applyAlignment="1">
      <alignment horizontal="center" vertical="center"/>
    </xf>
    <xf numFmtId="4" fontId="14" fillId="12" borderId="1" xfId="0" applyNumberFormat="1" applyFont="1" applyFill="1" applyBorder="1" applyAlignment="1">
      <alignment horizontal="center" vertical="center"/>
    </xf>
    <xf numFmtId="4" fontId="14" fillId="13" borderId="1" xfId="0" applyNumberFormat="1" applyFont="1" applyFill="1" applyBorder="1" applyAlignment="1">
      <alignment horizontal="center" vertical="center"/>
    </xf>
    <xf numFmtId="4" fontId="14" fillId="14" borderId="1" xfId="0" applyNumberFormat="1" applyFont="1" applyFill="1" applyBorder="1" applyAlignment="1">
      <alignment horizontal="center" vertical="center"/>
    </xf>
    <xf numFmtId="4" fontId="14" fillId="15" borderId="1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/>
    </xf>
    <xf numFmtId="4" fontId="11" fillId="18" borderId="1" xfId="0" applyNumberFormat="1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left" vertical="center"/>
    </xf>
    <xf numFmtId="4" fontId="13" fillId="12" borderId="1" xfId="0" applyNumberFormat="1" applyFont="1" applyFill="1" applyBorder="1" applyAlignment="1">
      <alignment horizontal="center" vertical="center"/>
    </xf>
    <xf numFmtId="4" fontId="13" fillId="14" borderId="1" xfId="0" applyNumberFormat="1" applyFont="1" applyFill="1" applyBorder="1" applyAlignment="1">
      <alignment horizontal="center" vertical="center"/>
    </xf>
    <xf numFmtId="4" fontId="13" fillId="15" borderId="1" xfId="0" applyNumberFormat="1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left" vertical="center"/>
    </xf>
    <xf numFmtId="0" fontId="5" fillId="3" borderId="4" xfId="0" applyFont="1" applyFill="1" applyBorder="1"/>
    <xf numFmtId="4" fontId="4" fillId="3" borderId="4" xfId="0" applyNumberFormat="1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left" vertical="center"/>
    </xf>
    <xf numFmtId="4" fontId="3" fillId="4" borderId="4" xfId="0" applyNumberFormat="1" applyFont="1" applyFill="1" applyBorder="1" applyAlignment="1">
      <alignment horizontal="center" vertical="center"/>
    </xf>
    <xf numFmtId="4" fontId="3" fillId="5" borderId="4" xfId="0" applyNumberFormat="1" applyFont="1" applyFill="1" applyBorder="1" applyAlignment="1">
      <alignment horizontal="center" vertical="center"/>
    </xf>
    <xf numFmtId="4" fontId="3" fillId="6" borderId="4" xfId="0" applyNumberFormat="1" applyFont="1" applyFill="1" applyBorder="1" applyAlignment="1">
      <alignment horizontal="center" vertical="center"/>
    </xf>
    <xf numFmtId="4" fontId="3" fillId="7" borderId="4" xfId="0" applyNumberFormat="1" applyFont="1" applyFill="1" applyBorder="1" applyAlignment="1">
      <alignment horizontal="center" vertical="center"/>
    </xf>
    <xf numFmtId="0" fontId="8" fillId="22" borderId="4" xfId="0" applyFont="1" applyFill="1" applyBorder="1" applyAlignment="1">
      <alignment horizontal="center" vertical="center"/>
    </xf>
    <xf numFmtId="0" fontId="15" fillId="22" borderId="4" xfId="0" applyFont="1" applyFill="1" applyBorder="1" applyAlignment="1">
      <alignment horizontal="left" vertical="center"/>
    </xf>
    <xf numFmtId="4" fontId="16" fillId="3" borderId="4" xfId="0" applyNumberFormat="1" applyFont="1" applyFill="1" applyBorder="1" applyAlignment="1">
      <alignment horizontal="center" vertical="center"/>
    </xf>
    <xf numFmtId="4" fontId="2" fillId="4" borderId="4" xfId="0" applyNumberFormat="1" applyFont="1" applyFill="1" applyBorder="1" applyAlignment="1">
      <alignment horizontal="center" vertical="center"/>
    </xf>
    <xf numFmtId="4" fontId="2" fillId="5" borderId="4" xfId="0" applyNumberFormat="1" applyFont="1" applyFill="1" applyBorder="1" applyAlignment="1">
      <alignment horizontal="center" vertical="center"/>
    </xf>
    <xf numFmtId="4" fontId="2" fillId="6" borderId="4" xfId="0" applyNumberFormat="1" applyFont="1" applyFill="1" applyBorder="1" applyAlignment="1">
      <alignment horizontal="center" vertical="center"/>
    </xf>
    <xf numFmtId="4" fontId="2" fillId="7" borderId="4" xfId="0" applyNumberFormat="1" applyFont="1" applyFill="1" applyBorder="1" applyAlignment="1">
      <alignment horizontal="center" vertical="center"/>
    </xf>
    <xf numFmtId="0" fontId="17" fillId="24" borderId="5" xfId="0" applyFont="1" applyFill="1" applyBorder="1" applyAlignment="1">
      <alignment horizontal="center" vertical="center"/>
    </xf>
    <xf numFmtId="4" fontId="18" fillId="3" borderId="6" xfId="0" applyNumberFormat="1" applyFont="1" applyFill="1" applyBorder="1" applyAlignment="1">
      <alignment horizontal="center" vertical="center"/>
    </xf>
    <xf numFmtId="4" fontId="17" fillId="4" borderId="6" xfId="0" applyNumberFormat="1" applyFont="1" applyFill="1" applyBorder="1" applyAlignment="1">
      <alignment horizontal="center" vertical="center"/>
    </xf>
    <xf numFmtId="4" fontId="17" fillId="5" borderId="6" xfId="0" applyNumberFormat="1" applyFont="1" applyFill="1" applyBorder="1" applyAlignment="1">
      <alignment horizontal="center" vertical="center"/>
    </xf>
    <xf numFmtId="4" fontId="17" fillId="6" borderId="6" xfId="0" applyNumberFormat="1" applyFont="1" applyFill="1" applyBorder="1" applyAlignment="1">
      <alignment horizontal="center" vertical="center"/>
    </xf>
    <xf numFmtId="4" fontId="17" fillId="7" borderId="6" xfId="0" applyNumberFormat="1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17" borderId="1" xfId="0" applyFont="1" applyFill="1" applyBorder="1"/>
    <xf numFmtId="4" fontId="5" fillId="17" borderId="1" xfId="0" applyNumberFormat="1" applyFont="1" applyFill="1" applyBorder="1" applyAlignment="1">
      <alignment horizontal="center" vertical="center"/>
    </xf>
    <xf numFmtId="4" fontId="14" fillId="17" borderId="1" xfId="0" applyNumberFormat="1" applyFont="1" applyFill="1" applyBorder="1" applyAlignment="1">
      <alignment horizontal="center" vertical="center"/>
    </xf>
    <xf numFmtId="4" fontId="19" fillId="12" borderId="1" xfId="0" applyNumberFormat="1" applyFont="1" applyFill="1" applyBorder="1" applyAlignment="1">
      <alignment horizontal="center" vertical="center"/>
    </xf>
    <xf numFmtId="4" fontId="19" fillId="14" borderId="1" xfId="0" applyNumberFormat="1" applyFont="1" applyFill="1" applyBorder="1" applyAlignment="1">
      <alignment horizontal="center" vertical="center"/>
    </xf>
    <xf numFmtId="4" fontId="8" fillId="17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/>
    <xf numFmtId="4" fontId="20" fillId="27" borderId="1" xfId="0" applyNumberFormat="1" applyFont="1" applyFill="1" applyBorder="1" applyAlignment="1">
      <alignment horizontal="center" vertical="center"/>
    </xf>
    <xf numFmtId="4" fontId="21" fillId="11" borderId="1" xfId="0" applyNumberFormat="1" applyFont="1" applyFill="1" applyBorder="1" applyAlignment="1">
      <alignment horizontal="center" vertical="center"/>
    </xf>
    <xf numFmtId="4" fontId="22" fillId="12" borderId="1" xfId="0" applyNumberFormat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/>
    </xf>
    <xf numFmtId="0" fontId="5" fillId="28" borderId="4" xfId="0" applyFont="1" applyFill="1" applyBorder="1"/>
    <xf numFmtId="0" fontId="5" fillId="9" borderId="4" xfId="0" applyFont="1" applyFill="1" applyBorder="1"/>
    <xf numFmtId="4" fontId="3" fillId="25" borderId="4" xfId="0" applyNumberFormat="1" applyFont="1" applyFill="1" applyBorder="1" applyAlignment="1">
      <alignment horizontal="center" vertical="center"/>
    </xf>
    <xf numFmtId="0" fontId="5" fillId="21" borderId="4" xfId="0" applyFont="1" applyFill="1" applyBorder="1"/>
    <xf numFmtId="4" fontId="2" fillId="25" borderId="4" xfId="0" applyNumberFormat="1" applyFont="1" applyFill="1" applyBorder="1" applyAlignment="1">
      <alignment horizontal="center" vertical="center"/>
    </xf>
    <xf numFmtId="4" fontId="2" fillId="26" borderId="4" xfId="0" applyNumberFormat="1" applyFont="1" applyFill="1" applyBorder="1" applyAlignment="1">
      <alignment horizontal="center" vertical="center"/>
    </xf>
    <xf numFmtId="4" fontId="2" fillId="3" borderId="4" xfId="0" applyNumberFormat="1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4" fontId="17" fillId="25" borderId="6" xfId="0" applyNumberFormat="1" applyFont="1" applyFill="1" applyBorder="1" applyAlignment="1">
      <alignment horizontal="center" vertical="center"/>
    </xf>
    <xf numFmtId="4" fontId="17" fillId="26" borderId="6" xfId="0" applyNumberFormat="1" applyFont="1" applyFill="1" applyBorder="1" applyAlignment="1">
      <alignment horizontal="center" vertical="center"/>
    </xf>
    <xf numFmtId="0" fontId="5" fillId="24" borderId="6" xfId="0" applyFont="1" applyFill="1" applyBorder="1"/>
    <xf numFmtId="0" fontId="23" fillId="8" borderId="0" xfId="0" applyFont="1" applyFill="1"/>
    <xf numFmtId="0" fontId="24" fillId="31" borderId="10" xfId="0" applyFont="1" applyFill="1" applyBorder="1" applyAlignment="1">
      <alignment horizontal="center" vertical="center" wrapText="1"/>
    </xf>
    <xf numFmtId="0" fontId="24" fillId="29" borderId="10" xfId="0" applyFont="1" applyFill="1" applyBorder="1" applyAlignment="1">
      <alignment horizontal="center" vertical="center"/>
    </xf>
    <xf numFmtId="0" fontId="24" fillId="30" borderId="10" xfId="0" applyFont="1" applyFill="1" applyBorder="1" applyAlignment="1">
      <alignment horizontal="center" vertical="center"/>
    </xf>
    <xf numFmtId="0" fontId="24" fillId="32" borderId="10" xfId="0" applyFont="1" applyFill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/>
    </xf>
    <xf numFmtId="0" fontId="26" fillId="34" borderId="10" xfId="0" applyFont="1" applyFill="1" applyBorder="1" applyAlignment="1">
      <alignment horizontal="center" vertical="center"/>
    </xf>
    <xf numFmtId="0" fontId="26" fillId="35" borderId="10" xfId="0" applyFont="1" applyFill="1" applyBorder="1" applyAlignment="1">
      <alignment horizontal="center" vertical="center"/>
    </xf>
    <xf numFmtId="4" fontId="5" fillId="33" borderId="10" xfId="0" applyNumberFormat="1" applyFont="1" applyFill="1" applyBorder="1" applyAlignment="1">
      <alignment horizontal="center" vertical="center"/>
    </xf>
    <xf numFmtId="4" fontId="5" fillId="34" borderId="10" xfId="0" applyNumberFormat="1" applyFont="1" applyFill="1" applyBorder="1" applyAlignment="1">
      <alignment horizontal="center" vertical="center"/>
    </xf>
    <xf numFmtId="4" fontId="28" fillId="35" borderId="10" xfId="0" applyNumberFormat="1" applyFont="1" applyFill="1" applyBorder="1" applyAlignment="1">
      <alignment horizontal="center" vertical="center"/>
    </xf>
    <xf numFmtId="4" fontId="5" fillId="35" borderId="10" xfId="0" applyNumberFormat="1" applyFont="1" applyFill="1" applyBorder="1" applyAlignment="1">
      <alignment horizontal="center" vertical="center"/>
    </xf>
    <xf numFmtId="4" fontId="8" fillId="33" borderId="10" xfId="0" applyNumberFormat="1" applyFont="1" applyFill="1" applyBorder="1" applyAlignment="1">
      <alignment horizontal="center" vertical="center"/>
    </xf>
    <xf numFmtId="4" fontId="8" fillId="34" borderId="10" xfId="0" applyNumberFormat="1" applyFont="1" applyFill="1" applyBorder="1" applyAlignment="1">
      <alignment horizontal="center" vertical="center"/>
    </xf>
    <xf numFmtId="4" fontId="8" fillId="39" borderId="10" xfId="0" applyNumberFormat="1" applyFont="1" applyFill="1" applyBorder="1" applyAlignment="1">
      <alignment horizontal="center" vertical="center"/>
    </xf>
    <xf numFmtId="4" fontId="14" fillId="33" borderId="10" xfId="0" applyNumberFormat="1" applyFont="1" applyFill="1" applyBorder="1" applyAlignment="1">
      <alignment horizontal="center" vertical="center"/>
    </xf>
    <xf numFmtId="4" fontId="14" fillId="34" borderId="10" xfId="0" applyNumberFormat="1" applyFont="1" applyFill="1" applyBorder="1" applyAlignment="1">
      <alignment horizontal="center" vertical="center"/>
    </xf>
    <xf numFmtId="4" fontId="14" fillId="39" borderId="10" xfId="0" applyNumberFormat="1" applyFont="1" applyFill="1" applyBorder="1" applyAlignment="1">
      <alignment horizontal="center" vertical="center"/>
    </xf>
    <xf numFmtId="4" fontId="8" fillId="40" borderId="10" xfId="0" applyNumberFormat="1" applyFont="1" applyFill="1" applyBorder="1" applyAlignment="1">
      <alignment horizontal="center" vertical="center"/>
    </xf>
    <xf numFmtId="4" fontId="13" fillId="33" borderId="10" xfId="0" applyNumberFormat="1" applyFont="1" applyFill="1" applyBorder="1" applyAlignment="1">
      <alignment horizontal="center" vertical="center"/>
    </xf>
    <xf numFmtId="4" fontId="13" fillId="34" borderId="10" xfId="0" applyNumberFormat="1" applyFont="1" applyFill="1" applyBorder="1" applyAlignment="1">
      <alignment horizontal="center" vertical="center"/>
    </xf>
    <xf numFmtId="4" fontId="27" fillId="29" borderId="11" xfId="0" applyNumberFormat="1" applyFont="1" applyFill="1" applyBorder="1" applyAlignment="1">
      <alignment horizontal="center" vertical="center"/>
    </xf>
    <xf numFmtId="4" fontId="27" fillId="30" borderId="11" xfId="0" applyNumberFormat="1" applyFont="1" applyFill="1" applyBorder="1" applyAlignment="1">
      <alignment horizontal="center" vertical="center"/>
    </xf>
    <xf numFmtId="4" fontId="27" fillId="32" borderId="11" xfId="0" applyNumberFormat="1" applyFont="1" applyFill="1" applyBorder="1" applyAlignment="1">
      <alignment horizontal="center" vertical="center"/>
    </xf>
    <xf numFmtId="4" fontId="27" fillId="41" borderId="11" xfId="0" applyNumberFormat="1" applyFont="1" applyFill="1" applyBorder="1" applyAlignment="1">
      <alignment horizontal="center" vertical="center"/>
    </xf>
    <xf numFmtId="4" fontId="27" fillId="42" borderId="11" xfId="0" applyNumberFormat="1" applyFont="1" applyFill="1" applyBorder="1" applyAlignment="1">
      <alignment horizontal="center" vertical="center"/>
    </xf>
    <xf numFmtId="4" fontId="29" fillId="29" borderId="12" xfId="0" applyNumberFormat="1" applyFont="1" applyFill="1" applyBorder="1" applyAlignment="1">
      <alignment horizontal="center" vertical="center"/>
    </xf>
    <xf numFmtId="4" fontId="29" fillId="30" borderId="12" xfId="0" applyNumberFormat="1" applyFont="1" applyFill="1" applyBorder="1" applyAlignment="1">
      <alignment horizontal="center" vertical="center"/>
    </xf>
    <xf numFmtId="4" fontId="29" fillId="43" borderId="12" xfId="0" applyNumberFormat="1" applyFont="1" applyFill="1" applyBorder="1" applyAlignment="1">
      <alignment horizontal="center" vertical="center"/>
    </xf>
    <xf numFmtId="0" fontId="24" fillId="29" borderId="10" xfId="0" applyFont="1" applyFill="1" applyBorder="1" applyAlignment="1">
      <alignment horizontal="center" vertical="center" wrapText="1"/>
    </xf>
    <xf numFmtId="0" fontId="24" fillId="30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" fontId="5" fillId="44" borderId="10" xfId="0" applyNumberFormat="1" applyFont="1" applyFill="1" applyBorder="1"/>
    <xf numFmtId="4" fontId="5" fillId="35" borderId="10" xfId="0" applyNumberFormat="1" applyFont="1" applyFill="1" applyBorder="1"/>
    <xf numFmtId="4" fontId="11" fillId="35" borderId="10" xfId="0" applyNumberFormat="1" applyFont="1" applyFill="1" applyBorder="1" applyAlignment="1">
      <alignment horizontal="center" vertical="center"/>
    </xf>
    <xf numFmtId="4" fontId="11" fillId="34" borderId="10" xfId="0" applyNumberFormat="1" applyFont="1" applyFill="1" applyBorder="1" applyAlignment="1">
      <alignment horizontal="center" vertical="center"/>
    </xf>
    <xf numFmtId="4" fontId="28" fillId="39" borderId="10" xfId="0" applyNumberFormat="1" applyFont="1" applyFill="1" applyBorder="1" applyAlignment="1">
      <alignment horizontal="center" vertical="center"/>
    </xf>
    <xf numFmtId="4" fontId="11" fillId="39" borderId="10" xfId="0" applyNumberFormat="1" applyFont="1" applyFill="1" applyBorder="1" applyAlignment="1">
      <alignment horizontal="center" vertical="center"/>
    </xf>
    <xf numFmtId="4" fontId="28" fillId="40" borderId="10" xfId="0" applyNumberFormat="1" applyFont="1" applyFill="1" applyBorder="1" applyAlignment="1">
      <alignment horizontal="center" vertical="center"/>
    </xf>
    <xf numFmtId="4" fontId="11" fillId="40" borderId="10" xfId="0" applyNumberFormat="1" applyFont="1" applyFill="1" applyBorder="1" applyAlignment="1">
      <alignment horizontal="center" vertical="center"/>
    </xf>
    <xf numFmtId="0" fontId="24" fillId="30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3" xfId="0" applyBorder="1"/>
    <xf numFmtId="0" fontId="3" fillId="3" borderId="5" xfId="0" applyFont="1" applyFill="1" applyBorder="1" applyAlignment="1">
      <alignment horizontal="center" vertical="center" wrapText="1"/>
    </xf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24" fillId="29" borderId="13" xfId="0" applyFont="1" applyFill="1" applyBorder="1" applyAlignment="1">
      <alignment horizontal="center" vertical="center" wrapText="1"/>
    </xf>
    <xf numFmtId="0" fontId="27" fillId="37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7" fillId="3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4" borderId="5" xfId="0" applyFont="1" applyFill="1" applyBorder="1" applyAlignment="1">
      <alignment horizontal="center" vertical="center" wrapText="1"/>
    </xf>
    <xf numFmtId="0" fontId="27" fillId="36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7" fillId="38" borderId="7" xfId="0" applyFont="1" applyFill="1" applyBorder="1" applyAlignment="1">
      <alignment horizontal="left" vertical="center"/>
    </xf>
    <xf numFmtId="0" fontId="3" fillId="2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A5" sqref="A5:X5"/>
    </sheetView>
  </sheetViews>
  <sheetFormatPr baseColWidth="10" defaultColWidth="12.625" defaultRowHeight="15" customHeight="1" x14ac:dyDescent="0.2"/>
  <cols>
    <col min="1" max="1" width="12.25" customWidth="1"/>
    <col min="2" max="2" width="21" customWidth="1"/>
    <col min="3" max="17" width="7.875" customWidth="1"/>
    <col min="18" max="23" width="9" customWidth="1"/>
    <col min="24" max="24" width="13" customWidth="1"/>
    <col min="25" max="32" width="8" customWidth="1"/>
  </cols>
  <sheetData>
    <row r="1" spans="1:24" ht="30" customHeight="1" x14ac:dyDescent="0.2">
      <c r="A1" s="156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</row>
    <row r="2" spans="1:24" ht="24" customHeight="1" x14ac:dyDescent="0.2">
      <c r="A2" s="145" t="s">
        <v>1</v>
      </c>
      <c r="B2" s="144"/>
      <c r="C2" s="143" t="s">
        <v>2</v>
      </c>
      <c r="D2" s="144"/>
      <c r="E2" s="144"/>
      <c r="F2" s="154" t="s">
        <v>3</v>
      </c>
      <c r="G2" s="144"/>
      <c r="H2" s="144"/>
      <c r="I2" s="146" t="s">
        <v>4</v>
      </c>
      <c r="J2" s="144"/>
      <c r="K2" s="144"/>
      <c r="L2" s="157" t="s">
        <v>5</v>
      </c>
      <c r="M2" s="144"/>
      <c r="N2" s="144"/>
      <c r="O2" s="158" t="s">
        <v>6</v>
      </c>
      <c r="P2" s="144"/>
      <c r="Q2" s="144"/>
      <c r="R2" s="147" t="s">
        <v>7</v>
      </c>
      <c r="S2" s="141"/>
      <c r="T2" s="142"/>
      <c r="U2" s="140" t="s">
        <v>8</v>
      </c>
      <c r="V2" s="141"/>
      <c r="W2" s="142"/>
      <c r="X2" s="99" t="s">
        <v>9</v>
      </c>
    </row>
    <row r="3" spans="1:24" ht="18" customHeight="1" x14ac:dyDescent="0.2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  <c r="F3" s="4" t="s">
        <v>12</v>
      </c>
      <c r="G3" s="4" t="s">
        <v>13</v>
      </c>
      <c r="H3" s="4" t="s">
        <v>14</v>
      </c>
      <c r="I3" s="5" t="s">
        <v>12</v>
      </c>
      <c r="J3" s="5" t="s">
        <v>13</v>
      </c>
      <c r="K3" s="5" t="s">
        <v>14</v>
      </c>
      <c r="L3" s="6" t="s">
        <v>12</v>
      </c>
      <c r="M3" s="6" t="s">
        <v>13</v>
      </c>
      <c r="N3" s="6" t="s">
        <v>14</v>
      </c>
      <c r="O3" s="7" t="s">
        <v>12</v>
      </c>
      <c r="P3" s="7" t="s">
        <v>13</v>
      </c>
      <c r="Q3" s="7" t="s">
        <v>14</v>
      </c>
      <c r="R3" s="100" t="s">
        <v>12</v>
      </c>
      <c r="S3" s="100" t="s">
        <v>13</v>
      </c>
      <c r="T3" s="100" t="s">
        <v>14</v>
      </c>
      <c r="U3" s="101" t="s">
        <v>12</v>
      </c>
      <c r="V3" s="101" t="s">
        <v>13</v>
      </c>
      <c r="W3" s="101" t="s">
        <v>14</v>
      </c>
      <c r="X3" s="102" t="s">
        <v>14</v>
      </c>
    </row>
    <row r="4" spans="1:24" ht="12.75" customHeight="1" x14ac:dyDescent="0.25">
      <c r="A4" s="8"/>
      <c r="B4" s="9" t="s">
        <v>15</v>
      </c>
      <c r="C4" s="10" t="s">
        <v>16</v>
      </c>
      <c r="D4" s="10" t="s">
        <v>17</v>
      </c>
      <c r="E4" s="11"/>
      <c r="F4" s="12" t="s">
        <v>16</v>
      </c>
      <c r="G4" s="12" t="s">
        <v>17</v>
      </c>
      <c r="H4" s="13"/>
      <c r="I4" s="14" t="s">
        <v>16</v>
      </c>
      <c r="J4" s="14" t="s">
        <v>17</v>
      </c>
      <c r="K4" s="15"/>
      <c r="L4" s="16" t="s">
        <v>16</v>
      </c>
      <c r="M4" s="16" t="s">
        <v>17</v>
      </c>
      <c r="N4" s="17"/>
      <c r="O4" s="18" t="s">
        <v>16</v>
      </c>
      <c r="P4" s="18" t="s">
        <v>17</v>
      </c>
      <c r="Q4" s="19"/>
      <c r="R4" s="103" t="s">
        <v>16</v>
      </c>
      <c r="S4" s="103" t="s">
        <v>17</v>
      </c>
      <c r="T4" s="104"/>
      <c r="U4" s="105" t="s">
        <v>16</v>
      </c>
      <c r="V4" s="105" t="s">
        <v>17</v>
      </c>
      <c r="W4" s="106"/>
      <c r="X4" s="107"/>
    </row>
    <row r="5" spans="1:24" ht="18.95" customHeight="1" x14ac:dyDescent="0.2">
      <c r="A5" s="155" t="s">
        <v>18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50"/>
    </row>
    <row r="6" spans="1:24" ht="15.75" customHeight="1" x14ac:dyDescent="0.25">
      <c r="A6" s="20" t="s">
        <v>7</v>
      </c>
      <c r="B6" s="21" t="s">
        <v>19</v>
      </c>
      <c r="C6" s="22"/>
      <c r="D6" s="22"/>
      <c r="E6" s="2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108"/>
      <c r="S6" s="108"/>
      <c r="T6" s="108"/>
      <c r="U6" s="109"/>
      <c r="V6" s="109"/>
      <c r="W6" s="109"/>
      <c r="X6" s="110">
        <f t="shared" ref="X6:X19" si="0">E6+H6+K6+N6+Q6+T6+W6</f>
        <v>0</v>
      </c>
    </row>
    <row r="7" spans="1:24" ht="15.75" customHeight="1" x14ac:dyDescent="0.25">
      <c r="A7" s="20" t="s">
        <v>7</v>
      </c>
      <c r="B7" s="24" t="s">
        <v>20</v>
      </c>
      <c r="C7" s="22"/>
      <c r="D7" s="22"/>
      <c r="E7" s="2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111"/>
      <c r="S7" s="111"/>
      <c r="T7" s="111"/>
      <c r="U7" s="111"/>
      <c r="V7" s="111"/>
      <c r="W7" s="111"/>
      <c r="X7" s="110">
        <f t="shared" si="0"/>
        <v>0</v>
      </c>
    </row>
    <row r="8" spans="1:24" ht="15.75" customHeight="1" x14ac:dyDescent="0.25">
      <c r="A8" s="20" t="s">
        <v>7</v>
      </c>
      <c r="B8" s="21" t="s">
        <v>21</v>
      </c>
      <c r="C8" s="22"/>
      <c r="D8" s="22"/>
      <c r="E8" s="2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108"/>
      <c r="S8" s="108"/>
      <c r="T8" s="108"/>
      <c r="U8" s="109"/>
      <c r="V8" s="109"/>
      <c r="W8" s="109"/>
      <c r="X8" s="110">
        <f t="shared" si="0"/>
        <v>0</v>
      </c>
    </row>
    <row r="9" spans="1:24" ht="15.75" customHeight="1" x14ac:dyDescent="0.25">
      <c r="A9" s="20" t="s">
        <v>7</v>
      </c>
      <c r="B9" s="24" t="s">
        <v>22</v>
      </c>
      <c r="C9" s="22"/>
      <c r="D9" s="22"/>
      <c r="E9" s="2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11"/>
      <c r="S9" s="111"/>
      <c r="T9" s="111"/>
      <c r="U9" s="111"/>
      <c r="V9" s="111"/>
      <c r="W9" s="111"/>
      <c r="X9" s="110">
        <f t="shared" si="0"/>
        <v>0</v>
      </c>
    </row>
    <row r="10" spans="1:24" ht="15.75" customHeight="1" x14ac:dyDescent="0.25">
      <c r="A10" s="20" t="s">
        <v>7</v>
      </c>
      <c r="B10" s="21" t="s">
        <v>23</v>
      </c>
      <c r="C10" s="22"/>
      <c r="D10" s="22"/>
      <c r="E10" s="2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08"/>
      <c r="S10" s="108"/>
      <c r="T10" s="108"/>
      <c r="U10" s="109"/>
      <c r="V10" s="109"/>
      <c r="W10" s="109"/>
      <c r="X10" s="110">
        <f t="shared" si="0"/>
        <v>0</v>
      </c>
    </row>
    <row r="11" spans="1:24" ht="15.75" customHeight="1" x14ac:dyDescent="0.25">
      <c r="A11" s="20" t="s">
        <v>7</v>
      </c>
      <c r="B11" s="24" t="s">
        <v>24</v>
      </c>
      <c r="C11" s="22"/>
      <c r="D11" s="22"/>
      <c r="E11" s="2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11"/>
      <c r="S11" s="111"/>
      <c r="T11" s="111"/>
      <c r="U11" s="111"/>
      <c r="V11" s="111"/>
      <c r="W11" s="111"/>
      <c r="X11" s="110">
        <f t="shared" si="0"/>
        <v>0</v>
      </c>
    </row>
    <row r="12" spans="1:24" ht="15.75" customHeight="1" x14ac:dyDescent="0.25">
      <c r="A12" s="20" t="s">
        <v>7</v>
      </c>
      <c r="B12" s="21" t="s">
        <v>25</v>
      </c>
      <c r="C12" s="22"/>
      <c r="D12" s="22"/>
      <c r="E12" s="2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08"/>
      <c r="S12" s="108"/>
      <c r="T12" s="108"/>
      <c r="U12" s="109"/>
      <c r="V12" s="109"/>
      <c r="W12" s="109"/>
      <c r="X12" s="110">
        <f t="shared" si="0"/>
        <v>0</v>
      </c>
    </row>
    <row r="13" spans="1:24" ht="15.75" customHeight="1" x14ac:dyDescent="0.25">
      <c r="A13" s="20" t="s">
        <v>7</v>
      </c>
      <c r="B13" s="24" t="s">
        <v>26</v>
      </c>
      <c r="C13" s="22"/>
      <c r="D13" s="22"/>
      <c r="E13" s="2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111"/>
      <c r="S13" s="111"/>
      <c r="T13" s="111"/>
      <c r="U13" s="111"/>
      <c r="V13" s="111"/>
      <c r="W13" s="111"/>
      <c r="X13" s="110">
        <f t="shared" si="0"/>
        <v>0</v>
      </c>
    </row>
    <row r="14" spans="1:24" ht="15.75" customHeight="1" x14ac:dyDescent="0.25">
      <c r="A14" s="20" t="s">
        <v>7</v>
      </c>
      <c r="B14" s="21" t="s">
        <v>27</v>
      </c>
      <c r="C14" s="22"/>
      <c r="D14" s="22"/>
      <c r="E14" s="2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108"/>
      <c r="S14" s="108"/>
      <c r="T14" s="108"/>
      <c r="U14" s="109"/>
      <c r="V14" s="109"/>
      <c r="W14" s="109"/>
      <c r="X14" s="110">
        <f t="shared" si="0"/>
        <v>0</v>
      </c>
    </row>
    <row r="15" spans="1:24" ht="15.75" customHeight="1" x14ac:dyDescent="0.25">
      <c r="A15" s="20" t="s">
        <v>7</v>
      </c>
      <c r="B15" s="24" t="s">
        <v>28</v>
      </c>
      <c r="C15" s="22"/>
      <c r="D15" s="22"/>
      <c r="E15" s="2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111"/>
      <c r="S15" s="111"/>
      <c r="T15" s="111"/>
      <c r="U15" s="111"/>
      <c r="V15" s="111"/>
      <c r="W15" s="111"/>
      <c r="X15" s="110">
        <f t="shared" si="0"/>
        <v>0</v>
      </c>
    </row>
    <row r="16" spans="1:24" ht="15.75" customHeight="1" x14ac:dyDescent="0.25">
      <c r="A16" s="20" t="s">
        <v>7</v>
      </c>
      <c r="B16" s="21" t="s">
        <v>29</v>
      </c>
      <c r="C16" s="22"/>
      <c r="D16" s="22"/>
      <c r="E16" s="2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108"/>
      <c r="S16" s="108"/>
      <c r="T16" s="108"/>
      <c r="U16" s="109"/>
      <c r="V16" s="109"/>
      <c r="W16" s="109"/>
      <c r="X16" s="110">
        <f t="shared" si="0"/>
        <v>0</v>
      </c>
    </row>
    <row r="17" spans="1:24" ht="15.75" customHeight="1" x14ac:dyDescent="0.25">
      <c r="A17" s="20" t="s">
        <v>7</v>
      </c>
      <c r="B17" s="24" t="s">
        <v>30</v>
      </c>
      <c r="C17" s="22"/>
      <c r="D17" s="22"/>
      <c r="E17" s="2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111"/>
      <c r="S17" s="111"/>
      <c r="T17" s="111"/>
      <c r="U17" s="111"/>
      <c r="V17" s="111"/>
      <c r="W17" s="111"/>
      <c r="X17" s="110">
        <f t="shared" si="0"/>
        <v>0</v>
      </c>
    </row>
    <row r="18" spans="1:24" ht="15.75" customHeight="1" x14ac:dyDescent="0.25">
      <c r="A18" s="20" t="s">
        <v>7</v>
      </c>
      <c r="B18" s="21" t="s">
        <v>31</v>
      </c>
      <c r="C18" s="22"/>
      <c r="D18" s="22"/>
      <c r="E18" s="2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108"/>
      <c r="S18" s="108"/>
      <c r="T18" s="108"/>
      <c r="U18" s="109"/>
      <c r="V18" s="109"/>
      <c r="W18" s="109"/>
      <c r="X18" s="110">
        <f t="shared" si="0"/>
        <v>0</v>
      </c>
    </row>
    <row r="19" spans="1:24" ht="15.75" customHeight="1" x14ac:dyDescent="0.25">
      <c r="A19" s="20" t="s">
        <v>7</v>
      </c>
      <c r="B19" s="24" t="s">
        <v>32</v>
      </c>
      <c r="C19" s="22"/>
      <c r="D19" s="22"/>
      <c r="E19" s="2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111"/>
      <c r="S19" s="111"/>
      <c r="T19" s="111"/>
      <c r="U19" s="111"/>
      <c r="V19" s="111"/>
      <c r="W19" s="111"/>
      <c r="X19" s="110">
        <f t="shared" si="0"/>
        <v>0</v>
      </c>
    </row>
    <row r="20" spans="1:24" ht="18.95" customHeight="1" x14ac:dyDescent="0.2">
      <c r="A20" s="148" t="s">
        <v>33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50"/>
    </row>
    <row r="21" spans="1:24" ht="15.75" customHeight="1" x14ac:dyDescent="0.2">
      <c r="A21" s="25" t="s">
        <v>34</v>
      </c>
      <c r="B21" s="26" t="s">
        <v>35</v>
      </c>
      <c r="C21" s="27">
        <v>23.5</v>
      </c>
      <c r="D21" s="27"/>
      <c r="E21" s="28">
        <v>23.5</v>
      </c>
      <c r="F21" s="29"/>
      <c r="G21" s="29"/>
      <c r="H21" s="29"/>
      <c r="I21" s="30"/>
      <c r="J21" s="30"/>
      <c r="K21" s="30"/>
      <c r="L21" s="31"/>
      <c r="M21" s="31"/>
      <c r="N21" s="31"/>
      <c r="O21" s="32"/>
      <c r="P21" s="32"/>
      <c r="Q21" s="32"/>
      <c r="R21" s="112"/>
      <c r="S21" s="112"/>
      <c r="T21" s="112"/>
      <c r="U21" s="113"/>
      <c r="V21" s="113"/>
      <c r="W21" s="113"/>
      <c r="X21" s="33">
        <f t="shared" ref="X21:X32" si="1">E21+H21+K21+N21+Q21+T21+W21</f>
        <v>23.5</v>
      </c>
    </row>
    <row r="22" spans="1:24" ht="15.75" customHeight="1" x14ac:dyDescent="0.2">
      <c r="A22" s="25" t="s">
        <v>34</v>
      </c>
      <c r="B22" s="34" t="s">
        <v>36</v>
      </c>
      <c r="C22" s="27"/>
      <c r="D22" s="27"/>
      <c r="E22" s="27"/>
      <c r="F22" s="29"/>
      <c r="G22" s="29"/>
      <c r="H22" s="29"/>
      <c r="I22" s="30"/>
      <c r="J22" s="30"/>
      <c r="K22" s="30"/>
      <c r="L22" s="31"/>
      <c r="M22" s="31"/>
      <c r="N22" s="31"/>
      <c r="O22" s="32"/>
      <c r="P22" s="32"/>
      <c r="Q22" s="32"/>
      <c r="R22" s="114"/>
      <c r="S22" s="114"/>
      <c r="T22" s="114"/>
      <c r="U22" s="114"/>
      <c r="V22" s="114"/>
      <c r="W22" s="114"/>
      <c r="X22" s="33">
        <f t="shared" si="1"/>
        <v>0</v>
      </c>
    </row>
    <row r="23" spans="1:24" ht="15.75" customHeight="1" x14ac:dyDescent="0.2">
      <c r="A23" s="25" t="s">
        <v>34</v>
      </c>
      <c r="B23" s="26" t="s">
        <v>37</v>
      </c>
      <c r="C23" s="27"/>
      <c r="D23" s="27"/>
      <c r="E23" s="27"/>
      <c r="F23" s="29"/>
      <c r="G23" s="29"/>
      <c r="H23" s="29"/>
      <c r="I23" s="30">
        <v>28.166667</v>
      </c>
      <c r="J23" s="30">
        <v>28.25</v>
      </c>
      <c r="K23" s="35">
        <v>56.416666999999997</v>
      </c>
      <c r="L23" s="31"/>
      <c r="M23" s="31"/>
      <c r="N23" s="31"/>
      <c r="O23" s="32"/>
      <c r="P23" s="32"/>
      <c r="Q23" s="32"/>
      <c r="R23" s="112"/>
      <c r="S23" s="112"/>
      <c r="T23" s="112"/>
      <c r="U23" s="113"/>
      <c r="V23" s="113"/>
      <c r="W23" s="113"/>
      <c r="X23" s="33">
        <f t="shared" si="1"/>
        <v>56.416666999999997</v>
      </c>
    </row>
    <row r="24" spans="1:24" ht="15.75" customHeight="1" x14ac:dyDescent="0.2">
      <c r="A24" s="25" t="s">
        <v>34</v>
      </c>
      <c r="B24" s="34" t="s">
        <v>38</v>
      </c>
      <c r="C24" s="27"/>
      <c r="D24" s="27"/>
      <c r="E24" s="27"/>
      <c r="F24" s="29"/>
      <c r="G24" s="29"/>
      <c r="H24" s="29"/>
      <c r="I24" s="30"/>
      <c r="J24" s="30"/>
      <c r="K24" s="30"/>
      <c r="L24" s="31"/>
      <c r="M24" s="31"/>
      <c r="N24" s="31"/>
      <c r="O24" s="32"/>
      <c r="P24" s="32"/>
      <c r="Q24" s="32"/>
      <c r="R24" s="114"/>
      <c r="S24" s="114"/>
      <c r="T24" s="114"/>
      <c r="U24" s="114"/>
      <c r="V24" s="114"/>
      <c r="W24" s="114"/>
      <c r="X24" s="33">
        <f t="shared" si="1"/>
        <v>0</v>
      </c>
    </row>
    <row r="25" spans="1:24" ht="15.75" customHeight="1" x14ac:dyDescent="0.2">
      <c r="A25" s="25" t="s">
        <v>34</v>
      </c>
      <c r="B25" s="26" t="s">
        <v>39</v>
      </c>
      <c r="C25" s="36"/>
      <c r="D25" s="36"/>
      <c r="E25" s="36"/>
      <c r="F25" s="37"/>
      <c r="G25" s="37"/>
      <c r="H25" s="37"/>
      <c r="I25" s="38"/>
      <c r="J25" s="38"/>
      <c r="K25" s="38"/>
      <c r="L25" s="39"/>
      <c r="M25" s="39"/>
      <c r="N25" s="39"/>
      <c r="O25" s="40"/>
      <c r="P25" s="40"/>
      <c r="Q25" s="40"/>
      <c r="R25" s="115"/>
      <c r="S25" s="115"/>
      <c r="T25" s="115"/>
      <c r="U25" s="116"/>
      <c r="V25" s="116"/>
      <c r="W25" s="116"/>
      <c r="X25" s="33">
        <f t="shared" si="1"/>
        <v>0</v>
      </c>
    </row>
    <row r="26" spans="1:24" ht="15.75" customHeight="1" x14ac:dyDescent="0.2">
      <c r="A26" s="25" t="s">
        <v>34</v>
      </c>
      <c r="B26" s="34" t="s">
        <v>40</v>
      </c>
      <c r="C26" s="36"/>
      <c r="D26" s="36"/>
      <c r="E26" s="36"/>
      <c r="F26" s="37"/>
      <c r="G26" s="37"/>
      <c r="H26" s="37"/>
      <c r="I26" s="38"/>
      <c r="J26" s="38"/>
      <c r="K26" s="38"/>
      <c r="L26" s="39"/>
      <c r="M26" s="39"/>
      <c r="N26" s="39"/>
      <c r="O26" s="40"/>
      <c r="P26" s="40"/>
      <c r="Q26" s="40"/>
      <c r="R26" s="117"/>
      <c r="S26" s="117"/>
      <c r="T26" s="117"/>
      <c r="U26" s="117"/>
      <c r="V26" s="117"/>
      <c r="W26" s="117"/>
      <c r="X26" s="33">
        <f t="shared" si="1"/>
        <v>0</v>
      </c>
    </row>
    <row r="27" spans="1:24" ht="15.75" customHeight="1" x14ac:dyDescent="0.2">
      <c r="A27" s="25" t="s">
        <v>34</v>
      </c>
      <c r="B27" s="26" t="s">
        <v>41</v>
      </c>
      <c r="C27" s="36"/>
      <c r="D27" s="36"/>
      <c r="E27" s="36"/>
      <c r="F27" s="37"/>
      <c r="G27" s="37"/>
      <c r="H27" s="37"/>
      <c r="I27" s="38"/>
      <c r="J27" s="38"/>
      <c r="K27" s="38"/>
      <c r="L27" s="39">
        <v>32</v>
      </c>
      <c r="M27" s="39"/>
      <c r="N27" s="39">
        <v>32</v>
      </c>
      <c r="O27" s="40"/>
      <c r="P27" s="40"/>
      <c r="Q27" s="40"/>
      <c r="R27" s="115"/>
      <c r="S27" s="115"/>
      <c r="T27" s="115"/>
      <c r="U27" s="116"/>
      <c r="V27" s="116"/>
      <c r="W27" s="116"/>
      <c r="X27" s="33">
        <f t="shared" si="1"/>
        <v>32</v>
      </c>
    </row>
    <row r="28" spans="1:24" ht="15.75" customHeight="1" x14ac:dyDescent="0.2">
      <c r="A28" s="25" t="s">
        <v>34</v>
      </c>
      <c r="B28" s="34" t="s">
        <v>42</v>
      </c>
      <c r="C28" s="36"/>
      <c r="D28" s="36"/>
      <c r="E28" s="36"/>
      <c r="F28" s="37"/>
      <c r="G28" s="37"/>
      <c r="H28" s="37"/>
      <c r="I28" s="38"/>
      <c r="J28" s="38"/>
      <c r="K28" s="38"/>
      <c r="L28" s="39"/>
      <c r="M28" s="39"/>
      <c r="N28" s="39"/>
      <c r="O28" s="40"/>
      <c r="P28" s="40"/>
      <c r="Q28" s="40"/>
      <c r="R28" s="117"/>
      <c r="S28" s="117"/>
      <c r="T28" s="117"/>
      <c r="U28" s="117"/>
      <c r="V28" s="117"/>
      <c r="W28" s="117"/>
      <c r="X28" s="33">
        <f t="shared" si="1"/>
        <v>0</v>
      </c>
    </row>
    <row r="29" spans="1:24" ht="15.75" customHeight="1" x14ac:dyDescent="0.2">
      <c r="A29" s="25" t="s">
        <v>34</v>
      </c>
      <c r="B29" s="26" t="s">
        <v>43</v>
      </c>
      <c r="C29" s="36"/>
      <c r="D29" s="36"/>
      <c r="E29" s="36"/>
      <c r="F29" s="37"/>
      <c r="G29" s="37"/>
      <c r="H29" s="37"/>
      <c r="I29" s="38"/>
      <c r="J29" s="38"/>
      <c r="K29" s="38"/>
      <c r="L29" s="39"/>
      <c r="M29" s="39"/>
      <c r="N29" s="39"/>
      <c r="O29" s="40">
        <v>6.6666670000000003</v>
      </c>
      <c r="P29" s="40">
        <v>13.25</v>
      </c>
      <c r="Q29" s="40">
        <v>19.916667</v>
      </c>
      <c r="R29" s="115"/>
      <c r="S29" s="115"/>
      <c r="T29" s="115"/>
      <c r="U29" s="116"/>
      <c r="V29" s="116"/>
      <c r="W29" s="116"/>
      <c r="X29" s="33">
        <f t="shared" si="1"/>
        <v>19.916667</v>
      </c>
    </row>
    <row r="30" spans="1:24" ht="15.75" customHeight="1" x14ac:dyDescent="0.2">
      <c r="A30" s="25" t="s">
        <v>34</v>
      </c>
      <c r="B30" s="34" t="s">
        <v>44</v>
      </c>
      <c r="C30" s="36"/>
      <c r="D30" s="36"/>
      <c r="E30" s="36"/>
      <c r="F30" s="37"/>
      <c r="G30" s="37"/>
      <c r="H30" s="37"/>
      <c r="I30" s="38"/>
      <c r="J30" s="38"/>
      <c r="K30" s="38"/>
      <c r="L30" s="39"/>
      <c r="M30" s="39"/>
      <c r="N30" s="39"/>
      <c r="O30" s="40"/>
      <c r="P30" s="40"/>
      <c r="Q30" s="40"/>
      <c r="R30" s="117"/>
      <c r="S30" s="117"/>
      <c r="T30" s="117"/>
      <c r="U30" s="117"/>
      <c r="V30" s="117"/>
      <c r="W30" s="117"/>
      <c r="X30" s="33">
        <f t="shared" si="1"/>
        <v>0</v>
      </c>
    </row>
    <row r="31" spans="1:24" ht="15.75" customHeight="1" x14ac:dyDescent="0.2">
      <c r="A31" s="25" t="s">
        <v>34</v>
      </c>
      <c r="B31" s="26" t="s">
        <v>45</v>
      </c>
      <c r="C31" s="36"/>
      <c r="D31" s="36"/>
      <c r="E31" s="36"/>
      <c r="F31" s="37">
        <v>30.583333329999999</v>
      </c>
      <c r="G31" s="37">
        <v>38.666666669999998</v>
      </c>
      <c r="H31" s="37">
        <v>69.25</v>
      </c>
      <c r="I31" s="38"/>
      <c r="J31" s="38"/>
      <c r="K31" s="38"/>
      <c r="L31" s="39">
        <v>3.0833333330000001</v>
      </c>
      <c r="M31" s="39"/>
      <c r="N31" s="39">
        <v>3.0833333330000001</v>
      </c>
      <c r="O31" s="40"/>
      <c r="P31" s="40"/>
      <c r="Q31" s="40"/>
      <c r="R31" s="115"/>
      <c r="S31" s="115"/>
      <c r="T31" s="115"/>
      <c r="U31" s="116"/>
      <c r="V31" s="116"/>
      <c r="W31" s="116"/>
      <c r="X31" s="33">
        <f t="shared" si="1"/>
        <v>72.333333332999999</v>
      </c>
    </row>
    <row r="32" spans="1:24" ht="15.75" customHeight="1" x14ac:dyDescent="0.2">
      <c r="A32" s="25" t="s">
        <v>34</v>
      </c>
      <c r="B32" s="34" t="s">
        <v>46</v>
      </c>
      <c r="C32" s="36"/>
      <c r="D32" s="36"/>
      <c r="E32" s="36"/>
      <c r="F32" s="37"/>
      <c r="G32" s="37"/>
      <c r="H32" s="37"/>
      <c r="I32" s="38"/>
      <c r="J32" s="38"/>
      <c r="K32" s="38"/>
      <c r="L32" s="39"/>
      <c r="M32" s="39"/>
      <c r="N32" s="39"/>
      <c r="O32" s="40"/>
      <c r="P32" s="40"/>
      <c r="Q32" s="40"/>
      <c r="R32" s="117"/>
      <c r="S32" s="117"/>
      <c r="T32" s="117"/>
      <c r="U32" s="117"/>
      <c r="V32" s="117"/>
      <c r="W32" s="117"/>
      <c r="X32" s="33">
        <f t="shared" si="1"/>
        <v>0</v>
      </c>
    </row>
    <row r="33" spans="1:24" ht="18.95" customHeight="1" x14ac:dyDescent="0.2">
      <c r="A33" s="151" t="s">
        <v>47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3"/>
    </row>
    <row r="34" spans="1:24" ht="15.75" customHeight="1" x14ac:dyDescent="0.2">
      <c r="A34" s="41" t="s">
        <v>48</v>
      </c>
      <c r="B34" s="42" t="s">
        <v>49</v>
      </c>
      <c r="C34" s="27"/>
      <c r="D34" s="27"/>
      <c r="E34" s="27"/>
      <c r="F34" s="29"/>
      <c r="G34" s="29"/>
      <c r="H34" s="29"/>
      <c r="I34" s="30">
        <v>3.1666669999999999</v>
      </c>
      <c r="J34" s="30"/>
      <c r="K34" s="35">
        <v>3.1666669999999999</v>
      </c>
      <c r="L34" s="31"/>
      <c r="M34" s="31"/>
      <c r="N34" s="31"/>
      <c r="O34" s="32"/>
      <c r="P34" s="32"/>
      <c r="Q34" s="32"/>
      <c r="R34" s="112"/>
      <c r="S34" s="112"/>
      <c r="T34" s="112"/>
      <c r="U34" s="113"/>
      <c r="V34" s="113"/>
      <c r="W34" s="113"/>
      <c r="X34" s="43">
        <f t="shared" ref="X34:X53" si="2">E34+H34+K34+N34+Q34+T34+W34</f>
        <v>3.1666669999999999</v>
      </c>
    </row>
    <row r="35" spans="1:24" ht="15.75" customHeight="1" x14ac:dyDescent="0.2">
      <c r="A35" s="41" t="s">
        <v>48</v>
      </c>
      <c r="B35" s="44" t="s">
        <v>50</v>
      </c>
      <c r="C35" s="27"/>
      <c r="D35" s="27"/>
      <c r="E35" s="27"/>
      <c r="F35" s="29"/>
      <c r="G35" s="29"/>
      <c r="H35" s="29"/>
      <c r="I35" s="30"/>
      <c r="J35" s="30"/>
      <c r="K35" s="30"/>
      <c r="L35" s="31"/>
      <c r="M35" s="31"/>
      <c r="N35" s="31"/>
      <c r="O35" s="32"/>
      <c r="P35" s="32"/>
      <c r="Q35" s="32"/>
      <c r="R35" s="118"/>
      <c r="S35" s="118"/>
      <c r="T35" s="118"/>
      <c r="U35" s="118"/>
      <c r="V35" s="118"/>
      <c r="W35" s="118"/>
      <c r="X35" s="43">
        <f t="shared" si="2"/>
        <v>0</v>
      </c>
    </row>
    <row r="36" spans="1:24" ht="15.75" customHeight="1" x14ac:dyDescent="0.2">
      <c r="A36" s="41" t="s">
        <v>48</v>
      </c>
      <c r="B36" s="42" t="s">
        <v>51</v>
      </c>
      <c r="C36" s="27"/>
      <c r="D36" s="27"/>
      <c r="E36" s="27"/>
      <c r="F36" s="29">
        <v>5.3333329999999997</v>
      </c>
      <c r="G36" s="29">
        <v>7.9166670000000003</v>
      </c>
      <c r="H36" s="45">
        <v>13.25</v>
      </c>
      <c r="I36" s="30">
        <v>11.416667</v>
      </c>
      <c r="J36" s="30">
        <v>10.666667</v>
      </c>
      <c r="K36" s="35">
        <v>22.083333</v>
      </c>
      <c r="L36" s="31">
        <v>14.833333</v>
      </c>
      <c r="M36" s="31"/>
      <c r="N36" s="46">
        <v>14.833333</v>
      </c>
      <c r="O36" s="32"/>
      <c r="P36" s="32">
        <v>3.6666669999999999</v>
      </c>
      <c r="Q36" s="47">
        <v>3.6666669999999999</v>
      </c>
      <c r="R36" s="119"/>
      <c r="S36" s="119"/>
      <c r="T36" s="119"/>
      <c r="U36" s="120"/>
      <c r="V36" s="120"/>
      <c r="W36" s="120"/>
      <c r="X36" s="43">
        <f t="shared" si="2"/>
        <v>53.833332999999989</v>
      </c>
    </row>
    <row r="37" spans="1:24" ht="15.75" customHeight="1" x14ac:dyDescent="0.2">
      <c r="A37" s="41" t="s">
        <v>48</v>
      </c>
      <c r="B37" s="44" t="s">
        <v>52</v>
      </c>
      <c r="C37" s="27"/>
      <c r="D37" s="27"/>
      <c r="E37" s="27"/>
      <c r="F37" s="29"/>
      <c r="G37" s="29"/>
      <c r="H37" s="29"/>
      <c r="I37" s="30"/>
      <c r="J37" s="30"/>
      <c r="K37" s="30"/>
      <c r="L37" s="31"/>
      <c r="M37" s="31"/>
      <c r="N37" s="31"/>
      <c r="O37" s="32"/>
      <c r="P37" s="32"/>
      <c r="Q37" s="32"/>
      <c r="R37" s="118"/>
      <c r="S37" s="118"/>
      <c r="T37" s="118"/>
      <c r="U37" s="118"/>
      <c r="V37" s="118"/>
      <c r="W37" s="118"/>
      <c r="X37" s="43">
        <f t="shared" si="2"/>
        <v>0</v>
      </c>
    </row>
    <row r="38" spans="1:24" ht="15.75" customHeight="1" x14ac:dyDescent="0.2">
      <c r="A38" s="41" t="s">
        <v>48</v>
      </c>
      <c r="B38" s="42" t="s">
        <v>53</v>
      </c>
      <c r="C38" s="27"/>
      <c r="D38" s="27"/>
      <c r="E38" s="27"/>
      <c r="F38" s="29"/>
      <c r="G38" s="29">
        <v>14.666667</v>
      </c>
      <c r="H38" s="45">
        <v>14.666667</v>
      </c>
      <c r="I38" s="30"/>
      <c r="J38" s="30">
        <v>5.5</v>
      </c>
      <c r="K38" s="35">
        <v>5.5</v>
      </c>
      <c r="L38" s="31"/>
      <c r="M38" s="31"/>
      <c r="N38" s="31"/>
      <c r="O38" s="32"/>
      <c r="P38" s="32"/>
      <c r="Q38" s="32"/>
      <c r="R38" s="112"/>
      <c r="S38" s="112"/>
      <c r="T38" s="112"/>
      <c r="U38" s="113"/>
      <c r="V38" s="113"/>
      <c r="W38" s="113"/>
      <c r="X38" s="43">
        <f t="shared" si="2"/>
        <v>20.166667</v>
      </c>
    </row>
    <row r="39" spans="1:24" ht="15.75" customHeight="1" x14ac:dyDescent="0.2">
      <c r="A39" s="41" t="s">
        <v>48</v>
      </c>
      <c r="B39" s="44" t="s">
        <v>54</v>
      </c>
      <c r="C39" s="27"/>
      <c r="D39" s="27"/>
      <c r="E39" s="27"/>
      <c r="F39" s="29"/>
      <c r="G39" s="29"/>
      <c r="H39" s="29"/>
      <c r="I39" s="30"/>
      <c r="J39" s="30"/>
      <c r="K39" s="30"/>
      <c r="L39" s="31"/>
      <c r="M39" s="31"/>
      <c r="N39" s="31"/>
      <c r="O39" s="32"/>
      <c r="P39" s="32"/>
      <c r="Q39" s="32"/>
      <c r="R39" s="118"/>
      <c r="S39" s="118"/>
      <c r="T39" s="118"/>
      <c r="U39" s="118"/>
      <c r="V39" s="118"/>
      <c r="W39" s="118"/>
      <c r="X39" s="43">
        <f t="shared" si="2"/>
        <v>0</v>
      </c>
    </row>
    <row r="40" spans="1:24" ht="15.75" customHeight="1" x14ac:dyDescent="0.2">
      <c r="A40" s="41" t="s">
        <v>48</v>
      </c>
      <c r="B40" s="42" t="s">
        <v>55</v>
      </c>
      <c r="C40" s="27">
        <v>4.25</v>
      </c>
      <c r="D40" s="27"/>
      <c r="E40" s="28">
        <v>4.25</v>
      </c>
      <c r="F40" s="29">
        <v>17.666667</v>
      </c>
      <c r="G40" s="29"/>
      <c r="H40" s="45">
        <v>17.666667</v>
      </c>
      <c r="I40" s="30">
        <v>3.4166669999999999</v>
      </c>
      <c r="J40" s="30"/>
      <c r="K40" s="35">
        <v>3.4166669999999999</v>
      </c>
      <c r="L40" s="31">
        <v>4</v>
      </c>
      <c r="M40" s="31"/>
      <c r="N40" s="46">
        <v>4</v>
      </c>
      <c r="O40" s="32"/>
      <c r="P40" s="32"/>
      <c r="Q40" s="32"/>
      <c r="R40" s="112"/>
      <c r="S40" s="112"/>
      <c r="T40" s="112"/>
      <c r="U40" s="113"/>
      <c r="V40" s="113"/>
      <c r="W40" s="113"/>
      <c r="X40" s="43">
        <f t="shared" si="2"/>
        <v>29.333334000000001</v>
      </c>
    </row>
    <row r="41" spans="1:24" ht="15.75" customHeight="1" x14ac:dyDescent="0.2">
      <c r="A41" s="41" t="s">
        <v>48</v>
      </c>
      <c r="B41" s="44" t="s">
        <v>56</v>
      </c>
      <c r="C41" s="27"/>
      <c r="D41" s="27"/>
      <c r="E41" s="27"/>
      <c r="F41" s="29"/>
      <c r="G41" s="29"/>
      <c r="H41" s="29"/>
      <c r="I41" s="30"/>
      <c r="J41" s="30"/>
      <c r="K41" s="30"/>
      <c r="L41" s="31"/>
      <c r="M41" s="31"/>
      <c r="N41" s="31"/>
      <c r="O41" s="32"/>
      <c r="P41" s="32"/>
      <c r="Q41" s="32"/>
      <c r="R41" s="118"/>
      <c r="S41" s="118"/>
      <c r="T41" s="118"/>
      <c r="U41" s="118"/>
      <c r="V41" s="118"/>
      <c r="W41" s="118"/>
      <c r="X41" s="43">
        <f t="shared" si="2"/>
        <v>0</v>
      </c>
    </row>
    <row r="42" spans="1:24" ht="15.75" customHeight="1" x14ac:dyDescent="0.2">
      <c r="A42" s="41" t="s">
        <v>48</v>
      </c>
      <c r="B42" s="42" t="s">
        <v>57</v>
      </c>
      <c r="C42" s="27"/>
      <c r="D42" s="27"/>
      <c r="E42" s="27"/>
      <c r="F42" s="29">
        <v>4.5</v>
      </c>
      <c r="G42" s="29">
        <v>9.75</v>
      </c>
      <c r="H42" s="45">
        <v>14.25</v>
      </c>
      <c r="I42" s="30">
        <v>23.916667</v>
      </c>
      <c r="J42" s="30">
        <v>24.333333</v>
      </c>
      <c r="K42" s="35">
        <v>48.25</v>
      </c>
      <c r="L42" s="31"/>
      <c r="M42" s="31"/>
      <c r="N42" s="31"/>
      <c r="O42" s="32"/>
      <c r="P42" s="32"/>
      <c r="Q42" s="32"/>
      <c r="R42" s="112"/>
      <c r="S42" s="112"/>
      <c r="T42" s="112"/>
      <c r="U42" s="113"/>
      <c r="V42" s="113"/>
      <c r="W42" s="113"/>
      <c r="X42" s="43">
        <f t="shared" si="2"/>
        <v>62.5</v>
      </c>
    </row>
    <row r="43" spans="1:24" ht="15.75" customHeight="1" x14ac:dyDescent="0.2">
      <c r="A43" s="41" t="s">
        <v>48</v>
      </c>
      <c r="B43" s="44" t="s">
        <v>58</v>
      </c>
      <c r="C43" s="27"/>
      <c r="D43" s="27"/>
      <c r="E43" s="27"/>
      <c r="F43" s="29"/>
      <c r="G43" s="29"/>
      <c r="H43" s="29"/>
      <c r="I43" s="30"/>
      <c r="J43" s="30"/>
      <c r="K43" s="30"/>
      <c r="L43" s="31"/>
      <c r="M43" s="31"/>
      <c r="N43" s="31"/>
      <c r="O43" s="32"/>
      <c r="P43" s="32"/>
      <c r="Q43" s="32"/>
      <c r="R43" s="118"/>
      <c r="S43" s="118"/>
      <c r="T43" s="118"/>
      <c r="U43" s="118"/>
      <c r="V43" s="118"/>
      <c r="W43" s="118"/>
      <c r="X43" s="43">
        <f t="shared" si="2"/>
        <v>0</v>
      </c>
    </row>
    <row r="44" spans="1:24" ht="15.75" customHeight="1" x14ac:dyDescent="0.2">
      <c r="A44" s="41" t="s">
        <v>48</v>
      </c>
      <c r="B44" s="42" t="s">
        <v>59</v>
      </c>
      <c r="C44" s="27"/>
      <c r="D44" s="27"/>
      <c r="E44" s="27"/>
      <c r="F44" s="29"/>
      <c r="G44" s="29">
        <v>22.083333</v>
      </c>
      <c r="H44" s="45">
        <v>22.083333</v>
      </c>
      <c r="I44" s="30">
        <v>7.5</v>
      </c>
      <c r="J44" s="30"/>
      <c r="K44" s="35">
        <v>7.5</v>
      </c>
      <c r="L44" s="31">
        <v>7.5</v>
      </c>
      <c r="M44" s="31"/>
      <c r="N44" s="46">
        <v>7.5</v>
      </c>
      <c r="O44" s="32"/>
      <c r="P44" s="32"/>
      <c r="Q44" s="32"/>
      <c r="R44" s="112"/>
      <c r="S44" s="112"/>
      <c r="T44" s="112"/>
      <c r="U44" s="113"/>
      <c r="V44" s="113"/>
      <c r="W44" s="113"/>
      <c r="X44" s="43">
        <f t="shared" si="2"/>
        <v>37.083332999999996</v>
      </c>
    </row>
    <row r="45" spans="1:24" ht="15.75" customHeight="1" x14ac:dyDescent="0.2">
      <c r="A45" s="41" t="s">
        <v>48</v>
      </c>
      <c r="B45" s="44" t="s">
        <v>60</v>
      </c>
      <c r="C45" s="27"/>
      <c r="D45" s="27"/>
      <c r="E45" s="27"/>
      <c r="F45" s="29"/>
      <c r="G45" s="29"/>
      <c r="H45" s="29"/>
      <c r="I45" s="30"/>
      <c r="J45" s="30"/>
      <c r="K45" s="30"/>
      <c r="L45" s="31"/>
      <c r="M45" s="31"/>
      <c r="N45" s="31"/>
      <c r="O45" s="32"/>
      <c r="P45" s="32"/>
      <c r="Q45" s="32"/>
      <c r="R45" s="118"/>
      <c r="S45" s="118"/>
      <c r="T45" s="118"/>
      <c r="U45" s="118"/>
      <c r="V45" s="118"/>
      <c r="W45" s="118"/>
      <c r="X45" s="43">
        <f t="shared" si="2"/>
        <v>0</v>
      </c>
    </row>
    <row r="46" spans="1:24" ht="15.75" customHeight="1" x14ac:dyDescent="0.2">
      <c r="A46" s="41" t="s">
        <v>48</v>
      </c>
      <c r="B46" s="42" t="s">
        <v>61</v>
      </c>
      <c r="C46" s="27">
        <v>19.166667</v>
      </c>
      <c r="D46" s="27"/>
      <c r="E46" s="28">
        <v>19.166667</v>
      </c>
      <c r="F46" s="29">
        <v>3.6666669999999999</v>
      </c>
      <c r="G46" s="29"/>
      <c r="H46" s="45">
        <v>3.6666669999999999</v>
      </c>
      <c r="I46" s="30"/>
      <c r="J46" s="30"/>
      <c r="K46" s="30"/>
      <c r="L46" s="31"/>
      <c r="M46" s="31"/>
      <c r="N46" s="31"/>
      <c r="O46" s="32"/>
      <c r="P46" s="32"/>
      <c r="Q46" s="32"/>
      <c r="R46" s="112"/>
      <c r="S46" s="112"/>
      <c r="T46" s="112"/>
      <c r="U46" s="113"/>
      <c r="V46" s="113"/>
      <c r="W46" s="113"/>
      <c r="X46" s="43">
        <f t="shared" si="2"/>
        <v>22.833334000000001</v>
      </c>
    </row>
    <row r="47" spans="1:24" ht="15.75" customHeight="1" x14ac:dyDescent="0.2">
      <c r="A47" s="41" t="s">
        <v>48</v>
      </c>
      <c r="B47" s="44" t="s">
        <v>62</v>
      </c>
      <c r="C47" s="27"/>
      <c r="D47" s="27"/>
      <c r="E47" s="27"/>
      <c r="F47" s="29"/>
      <c r="G47" s="29"/>
      <c r="H47" s="29"/>
      <c r="I47" s="30"/>
      <c r="J47" s="30"/>
      <c r="K47" s="30"/>
      <c r="L47" s="31"/>
      <c r="M47" s="31"/>
      <c r="N47" s="31"/>
      <c r="O47" s="32"/>
      <c r="P47" s="32"/>
      <c r="Q47" s="32"/>
      <c r="R47" s="118"/>
      <c r="S47" s="118"/>
      <c r="T47" s="118"/>
      <c r="U47" s="118"/>
      <c r="V47" s="118"/>
      <c r="W47" s="118"/>
      <c r="X47" s="43">
        <f t="shared" si="2"/>
        <v>0</v>
      </c>
    </row>
    <row r="48" spans="1:24" ht="15.75" customHeight="1" x14ac:dyDescent="0.2">
      <c r="A48" s="41" t="s">
        <v>48</v>
      </c>
      <c r="B48" s="42" t="s">
        <v>63</v>
      </c>
      <c r="C48" s="27">
        <v>22.416667</v>
      </c>
      <c r="D48" s="27"/>
      <c r="E48" s="28">
        <v>22.416667</v>
      </c>
      <c r="F48" s="29">
        <v>3.25</v>
      </c>
      <c r="G48" s="29"/>
      <c r="H48" s="45">
        <v>3.25</v>
      </c>
      <c r="I48" s="30">
        <v>1.25</v>
      </c>
      <c r="J48" s="30"/>
      <c r="K48" s="35">
        <v>1.25</v>
      </c>
      <c r="L48" s="31"/>
      <c r="M48" s="31"/>
      <c r="N48" s="31"/>
      <c r="O48" s="32"/>
      <c r="P48" s="32"/>
      <c r="Q48" s="32"/>
      <c r="R48" s="112"/>
      <c r="S48" s="112"/>
      <c r="T48" s="112"/>
      <c r="U48" s="113"/>
      <c r="V48" s="113"/>
      <c r="W48" s="113"/>
      <c r="X48" s="43">
        <f t="shared" si="2"/>
        <v>26.916667</v>
      </c>
    </row>
    <row r="49" spans="1:24" ht="15.75" customHeight="1" x14ac:dyDescent="0.2">
      <c r="A49" s="41" t="s">
        <v>48</v>
      </c>
      <c r="B49" s="44" t="s">
        <v>64</v>
      </c>
      <c r="C49" s="27"/>
      <c r="D49" s="27"/>
      <c r="E49" s="27"/>
      <c r="F49" s="29"/>
      <c r="G49" s="29"/>
      <c r="H49" s="29"/>
      <c r="I49" s="30"/>
      <c r="J49" s="30"/>
      <c r="K49" s="30"/>
      <c r="L49" s="31"/>
      <c r="M49" s="31"/>
      <c r="N49" s="31"/>
      <c r="O49" s="32"/>
      <c r="P49" s="32"/>
      <c r="Q49" s="32"/>
      <c r="R49" s="118"/>
      <c r="S49" s="118"/>
      <c r="T49" s="118"/>
      <c r="U49" s="118"/>
      <c r="V49" s="118"/>
      <c r="W49" s="118"/>
      <c r="X49" s="43">
        <f t="shared" si="2"/>
        <v>0</v>
      </c>
    </row>
    <row r="50" spans="1:24" ht="15.75" customHeight="1" x14ac:dyDescent="0.2">
      <c r="A50" s="41" t="s">
        <v>48</v>
      </c>
      <c r="B50" s="42" t="s">
        <v>65</v>
      </c>
      <c r="C50" s="27">
        <v>7.75</v>
      </c>
      <c r="D50" s="27"/>
      <c r="E50" s="28">
        <v>7.75</v>
      </c>
      <c r="F50" s="29">
        <v>18.333333</v>
      </c>
      <c r="G50" s="29">
        <v>28</v>
      </c>
      <c r="H50" s="45">
        <v>46.333333000000003</v>
      </c>
      <c r="I50" s="30">
        <v>6</v>
      </c>
      <c r="J50" s="30">
        <v>3.3333330000000001</v>
      </c>
      <c r="K50" s="35">
        <v>9.3333329999999997</v>
      </c>
      <c r="L50" s="31"/>
      <c r="M50" s="31"/>
      <c r="N50" s="31"/>
      <c r="O50" s="32"/>
      <c r="P50" s="32"/>
      <c r="Q50" s="32"/>
      <c r="R50" s="112"/>
      <c r="S50" s="112"/>
      <c r="T50" s="112"/>
      <c r="U50" s="113"/>
      <c r="V50" s="113"/>
      <c r="W50" s="113"/>
      <c r="X50" s="43">
        <f t="shared" si="2"/>
        <v>63.416666000000006</v>
      </c>
    </row>
    <row r="51" spans="1:24" ht="15.75" customHeight="1" x14ac:dyDescent="0.2">
      <c r="A51" s="41" t="s">
        <v>48</v>
      </c>
      <c r="B51" s="44" t="s">
        <v>66</v>
      </c>
      <c r="C51" s="27"/>
      <c r="D51" s="27"/>
      <c r="E51" s="27"/>
      <c r="F51" s="29"/>
      <c r="G51" s="29"/>
      <c r="H51" s="29"/>
      <c r="I51" s="30"/>
      <c r="J51" s="30"/>
      <c r="K51" s="30"/>
      <c r="L51" s="31"/>
      <c r="M51" s="31"/>
      <c r="N51" s="31"/>
      <c r="O51" s="32"/>
      <c r="P51" s="32"/>
      <c r="Q51" s="32"/>
      <c r="R51" s="118"/>
      <c r="S51" s="118"/>
      <c r="T51" s="118"/>
      <c r="U51" s="118"/>
      <c r="V51" s="118"/>
      <c r="W51" s="118"/>
      <c r="X51" s="43">
        <f t="shared" si="2"/>
        <v>0</v>
      </c>
    </row>
    <row r="52" spans="1:24" ht="18.75" customHeight="1" x14ac:dyDescent="0.2">
      <c r="A52" s="41" t="s">
        <v>48</v>
      </c>
      <c r="B52" s="42" t="s">
        <v>67</v>
      </c>
      <c r="C52" s="27">
        <v>7.5</v>
      </c>
      <c r="D52" s="27"/>
      <c r="E52" s="28">
        <v>7.5</v>
      </c>
      <c r="F52" s="29"/>
      <c r="G52" s="29"/>
      <c r="H52" s="29"/>
      <c r="I52" s="30"/>
      <c r="J52" s="30">
        <v>7.3333329999999997</v>
      </c>
      <c r="K52" s="35">
        <v>7.3333329999999997</v>
      </c>
      <c r="L52" s="31">
        <v>5.5833329999999997</v>
      </c>
      <c r="M52" s="31"/>
      <c r="N52" s="46">
        <v>5.5833329999999997</v>
      </c>
      <c r="O52" s="32">
        <v>7.9166670000000003</v>
      </c>
      <c r="P52" s="32">
        <v>14.25</v>
      </c>
      <c r="Q52" s="47">
        <v>22.166667</v>
      </c>
      <c r="R52" s="119"/>
      <c r="S52" s="119"/>
      <c r="T52" s="119"/>
      <c r="U52" s="120"/>
      <c r="V52" s="120"/>
      <c r="W52" s="120"/>
      <c r="X52" s="43">
        <f t="shared" si="2"/>
        <v>42.583332999999996</v>
      </c>
    </row>
    <row r="53" spans="1:24" ht="15.75" customHeight="1" x14ac:dyDescent="0.2">
      <c r="A53" s="41" t="s">
        <v>48</v>
      </c>
      <c r="B53" s="44" t="s">
        <v>68</v>
      </c>
      <c r="C53" s="27"/>
      <c r="D53" s="27"/>
      <c r="E53" s="27"/>
      <c r="F53" s="29"/>
      <c r="G53" s="29"/>
      <c r="H53" s="29"/>
      <c r="I53" s="30"/>
      <c r="J53" s="30"/>
      <c r="K53" s="30"/>
      <c r="L53" s="31"/>
      <c r="M53" s="31"/>
      <c r="N53" s="31"/>
      <c r="O53" s="32"/>
      <c r="P53" s="32"/>
      <c r="Q53" s="32"/>
      <c r="R53" s="118"/>
      <c r="S53" s="118"/>
      <c r="T53" s="118"/>
      <c r="U53" s="118"/>
      <c r="V53" s="118"/>
      <c r="W53" s="118"/>
      <c r="X53" s="43">
        <f t="shared" si="2"/>
        <v>0</v>
      </c>
    </row>
    <row r="54" spans="1:24" ht="18.75" customHeight="1" x14ac:dyDescent="0.25">
      <c r="A54" s="48"/>
      <c r="B54" s="49" t="s">
        <v>69</v>
      </c>
      <c r="C54" s="50"/>
      <c r="D54" s="50"/>
      <c r="E54" s="51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121">
        <f t="shared" ref="R54:X54" si="3">SUM(R6,R7,R8,R9,R10,R11,R12,R13,R14,R15,R16,R17,R18,R19)</f>
        <v>0</v>
      </c>
      <c r="S54" s="121">
        <f t="shared" si="3"/>
        <v>0</v>
      </c>
      <c r="T54" s="121">
        <f t="shared" si="3"/>
        <v>0</v>
      </c>
      <c r="U54" s="122">
        <f t="shared" si="3"/>
        <v>0</v>
      </c>
      <c r="V54" s="122">
        <f t="shared" si="3"/>
        <v>0</v>
      </c>
      <c r="W54" s="122">
        <f t="shared" si="3"/>
        <v>0</v>
      </c>
      <c r="X54" s="123">
        <f t="shared" si="3"/>
        <v>0</v>
      </c>
    </row>
    <row r="55" spans="1:24" ht="15.75" customHeight="1" x14ac:dyDescent="0.2"/>
    <row r="56" spans="1:24" ht="18.75" customHeight="1" x14ac:dyDescent="0.2">
      <c r="A56" s="52"/>
      <c r="B56" s="53" t="s">
        <v>70</v>
      </c>
      <c r="C56" s="51">
        <f t="shared" ref="C56:X56" si="4">SUM(C21,C22,C23,C24,C25,C26,C27,C28,C29,C30,C31,C32)</f>
        <v>23.5</v>
      </c>
      <c r="D56" s="51">
        <f t="shared" si="4"/>
        <v>0</v>
      </c>
      <c r="E56" s="51">
        <f t="shared" si="4"/>
        <v>23.5</v>
      </c>
      <c r="F56" s="54">
        <f t="shared" si="4"/>
        <v>30.583333329999999</v>
      </c>
      <c r="G56" s="54">
        <f t="shared" si="4"/>
        <v>38.666666669999998</v>
      </c>
      <c r="H56" s="54">
        <f t="shared" si="4"/>
        <v>69.25</v>
      </c>
      <c r="I56" s="55">
        <f t="shared" si="4"/>
        <v>28.166667</v>
      </c>
      <c r="J56" s="55">
        <f t="shared" si="4"/>
        <v>28.25</v>
      </c>
      <c r="K56" s="55">
        <f t="shared" si="4"/>
        <v>56.416666999999997</v>
      </c>
      <c r="L56" s="56">
        <f t="shared" si="4"/>
        <v>35.083333332999999</v>
      </c>
      <c r="M56" s="56">
        <f t="shared" si="4"/>
        <v>0</v>
      </c>
      <c r="N56" s="56">
        <f t="shared" si="4"/>
        <v>35.083333332999999</v>
      </c>
      <c r="O56" s="57">
        <f t="shared" si="4"/>
        <v>6.6666670000000003</v>
      </c>
      <c r="P56" s="57">
        <f t="shared" si="4"/>
        <v>13.25</v>
      </c>
      <c r="Q56" s="57">
        <f t="shared" si="4"/>
        <v>19.916667</v>
      </c>
      <c r="R56" s="121">
        <f t="shared" si="4"/>
        <v>0</v>
      </c>
      <c r="S56" s="121">
        <f t="shared" si="4"/>
        <v>0</v>
      </c>
      <c r="T56" s="121">
        <f t="shared" si="4"/>
        <v>0</v>
      </c>
      <c r="U56" s="122">
        <f t="shared" si="4"/>
        <v>0</v>
      </c>
      <c r="V56" s="122">
        <f t="shared" si="4"/>
        <v>0</v>
      </c>
      <c r="W56" s="122">
        <f t="shared" si="4"/>
        <v>0</v>
      </c>
      <c r="X56" s="124">
        <f t="shared" si="4"/>
        <v>204.16666733299996</v>
      </c>
    </row>
    <row r="57" spans="1:24" ht="15.75" customHeight="1" x14ac:dyDescent="0.2"/>
    <row r="58" spans="1:24" ht="18.75" customHeight="1" x14ac:dyDescent="0.2">
      <c r="A58" s="58"/>
      <c r="B58" s="59" t="s">
        <v>71</v>
      </c>
      <c r="C58" s="60">
        <f t="shared" ref="C58:X58" si="5">SUM(C34,C35,C36,C37,C38,C39,C40,C41,C42,C43,C44,C45,C46,C47,C48,C49,C50,C51,C52,C53)</f>
        <v>61.083334000000001</v>
      </c>
      <c r="D58" s="60">
        <f t="shared" si="5"/>
        <v>0</v>
      </c>
      <c r="E58" s="60">
        <f t="shared" si="5"/>
        <v>61.083334000000001</v>
      </c>
      <c r="F58" s="61">
        <f t="shared" si="5"/>
        <v>52.75</v>
      </c>
      <c r="G58" s="61">
        <f t="shared" si="5"/>
        <v>82.416667000000004</v>
      </c>
      <c r="H58" s="61">
        <f t="shared" si="5"/>
        <v>135.16666700000002</v>
      </c>
      <c r="I58" s="62">
        <f t="shared" si="5"/>
        <v>56.666668000000001</v>
      </c>
      <c r="J58" s="62">
        <f t="shared" si="5"/>
        <v>51.166666000000006</v>
      </c>
      <c r="K58" s="62">
        <f t="shared" si="5"/>
        <v>107.83333299999998</v>
      </c>
      <c r="L58" s="63">
        <f t="shared" si="5"/>
        <v>31.916665999999999</v>
      </c>
      <c r="M58" s="63">
        <f t="shared" si="5"/>
        <v>0</v>
      </c>
      <c r="N58" s="63">
        <f t="shared" si="5"/>
        <v>31.916665999999999</v>
      </c>
      <c r="O58" s="64">
        <f t="shared" si="5"/>
        <v>7.9166670000000003</v>
      </c>
      <c r="P58" s="64">
        <f t="shared" si="5"/>
        <v>17.916667</v>
      </c>
      <c r="Q58" s="64">
        <f t="shared" si="5"/>
        <v>25.833334000000001</v>
      </c>
      <c r="R58" s="121">
        <f t="shared" si="5"/>
        <v>0</v>
      </c>
      <c r="S58" s="121">
        <f t="shared" si="5"/>
        <v>0</v>
      </c>
      <c r="T58" s="121">
        <f t="shared" si="5"/>
        <v>0</v>
      </c>
      <c r="U58" s="122">
        <f t="shared" si="5"/>
        <v>0</v>
      </c>
      <c r="V58" s="122">
        <f t="shared" si="5"/>
        <v>0</v>
      </c>
      <c r="W58" s="122">
        <f t="shared" si="5"/>
        <v>0</v>
      </c>
      <c r="X58" s="125">
        <f t="shared" si="5"/>
        <v>361.83333399999998</v>
      </c>
    </row>
    <row r="59" spans="1:24" ht="15.75" customHeight="1" x14ac:dyDescent="0.2"/>
    <row r="60" spans="1:24" ht="15.75" customHeight="1" x14ac:dyDescent="0.2">
      <c r="A60" s="65" t="s">
        <v>72</v>
      </c>
      <c r="C60" s="66">
        <f t="shared" ref="C60:X60" si="6">C54+C56+C58</f>
        <v>84.583334000000008</v>
      </c>
      <c r="D60" s="66">
        <f t="shared" si="6"/>
        <v>0</v>
      </c>
      <c r="E60" s="66">
        <f t="shared" si="6"/>
        <v>84.583334000000008</v>
      </c>
      <c r="F60" s="67">
        <f t="shared" si="6"/>
        <v>83.333333330000002</v>
      </c>
      <c r="G60" s="67">
        <f t="shared" si="6"/>
        <v>121.08333367</v>
      </c>
      <c r="H60" s="67">
        <f t="shared" si="6"/>
        <v>204.41666700000002</v>
      </c>
      <c r="I60" s="68">
        <f t="shared" si="6"/>
        <v>84.833335000000005</v>
      </c>
      <c r="J60" s="68">
        <f t="shared" si="6"/>
        <v>79.416666000000006</v>
      </c>
      <c r="K60" s="68">
        <f t="shared" si="6"/>
        <v>164.24999999999997</v>
      </c>
      <c r="L60" s="69">
        <f t="shared" si="6"/>
        <v>66.999999333000005</v>
      </c>
      <c r="M60" s="69">
        <f t="shared" si="6"/>
        <v>0</v>
      </c>
      <c r="N60" s="69">
        <f t="shared" si="6"/>
        <v>66.999999333000005</v>
      </c>
      <c r="O60" s="70">
        <f t="shared" si="6"/>
        <v>14.583334000000001</v>
      </c>
      <c r="P60" s="70">
        <f t="shared" si="6"/>
        <v>31.166667</v>
      </c>
      <c r="Q60" s="70">
        <f t="shared" si="6"/>
        <v>45.750000999999997</v>
      </c>
      <c r="R60" s="126">
        <f t="shared" si="6"/>
        <v>0</v>
      </c>
      <c r="S60" s="126">
        <f t="shared" si="6"/>
        <v>0</v>
      </c>
      <c r="T60" s="126">
        <f t="shared" si="6"/>
        <v>0</v>
      </c>
      <c r="U60" s="127">
        <f t="shared" si="6"/>
        <v>0</v>
      </c>
      <c r="V60" s="127">
        <f t="shared" si="6"/>
        <v>0</v>
      </c>
      <c r="W60" s="127">
        <f t="shared" si="6"/>
        <v>0</v>
      </c>
      <c r="X60" s="128">
        <f t="shared" si="6"/>
        <v>566.000001333</v>
      </c>
    </row>
    <row r="61" spans="1:24" ht="15.75" customHeight="1" x14ac:dyDescent="0.2"/>
    <row r="62" spans="1:24" ht="15.75" customHeight="1" x14ac:dyDescent="0.2"/>
    <row r="63" spans="1:24" ht="15.75" customHeight="1" x14ac:dyDescent="0.2"/>
    <row r="64" spans="1:2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A20:X20"/>
    <mergeCell ref="A33:X33"/>
    <mergeCell ref="F2:H2"/>
    <mergeCell ref="A5:X5"/>
    <mergeCell ref="A1:X1"/>
    <mergeCell ref="L2:N2"/>
    <mergeCell ref="O2:Q2"/>
    <mergeCell ref="U2:W2"/>
    <mergeCell ref="C2:E2"/>
    <mergeCell ref="A2:B2"/>
    <mergeCell ref="I2:K2"/>
    <mergeCell ref="R2:T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abSelected="1" workbookViewId="0">
      <pane xSplit="2" ySplit="4" topLeftCell="C35" activePane="bottomRight" state="frozen"/>
      <selection pane="topRight" activeCell="C1" sqref="C1"/>
      <selection pane="bottomLeft" activeCell="A5" sqref="A5"/>
      <selection pane="bottomRight" activeCell="T36" sqref="T36"/>
    </sheetView>
  </sheetViews>
  <sheetFormatPr baseColWidth="10" defaultColWidth="12.625" defaultRowHeight="15" customHeight="1" x14ac:dyDescent="0.2"/>
  <cols>
    <col min="1" max="1" width="12.25" customWidth="1"/>
    <col min="2" max="2" width="21" customWidth="1"/>
    <col min="3" max="4" width="11.375" hidden="1" customWidth="1"/>
    <col min="5" max="5" width="7.875" customWidth="1"/>
    <col min="6" max="7" width="11.375" hidden="1" customWidth="1"/>
    <col min="8" max="8" width="7.875" customWidth="1"/>
    <col min="9" max="10" width="11.375" hidden="1" customWidth="1"/>
    <col min="11" max="11" width="7.875" customWidth="1"/>
    <col min="12" max="13" width="11.375" hidden="1" customWidth="1"/>
    <col min="14" max="14" width="7.875" customWidth="1"/>
    <col min="15" max="16" width="11.375" hidden="1" customWidth="1"/>
    <col min="17" max="17" width="7.875" customWidth="1"/>
    <col min="18" max="20" width="11" customWidth="1"/>
    <col min="21" max="21" width="8.75" customWidth="1"/>
    <col min="22" max="23" width="12.25" customWidth="1"/>
    <col min="24" max="24" width="22" customWidth="1"/>
    <col min="25" max="27" width="8" customWidth="1"/>
  </cols>
  <sheetData>
    <row r="1" spans="1:24" ht="30" customHeight="1" x14ac:dyDescent="0.2">
      <c r="A1" s="156" t="s">
        <v>73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</row>
    <row r="2" spans="1:24" ht="24" customHeight="1" x14ac:dyDescent="0.2">
      <c r="A2" s="145" t="s">
        <v>1</v>
      </c>
      <c r="B2" s="144"/>
      <c r="C2" s="143" t="s">
        <v>2</v>
      </c>
      <c r="D2" s="144"/>
      <c r="E2" s="144"/>
      <c r="F2" s="154" t="s">
        <v>3</v>
      </c>
      <c r="G2" s="144"/>
      <c r="H2" s="144"/>
      <c r="I2" s="146" t="s">
        <v>4</v>
      </c>
      <c r="J2" s="144"/>
      <c r="K2" s="144"/>
      <c r="L2" s="157" t="s">
        <v>5</v>
      </c>
      <c r="M2" s="144"/>
      <c r="N2" s="144"/>
      <c r="O2" s="160" t="s">
        <v>6</v>
      </c>
      <c r="P2" s="144"/>
      <c r="Q2" s="144"/>
      <c r="R2" s="129" t="s">
        <v>7</v>
      </c>
      <c r="S2" s="130" t="s">
        <v>8</v>
      </c>
      <c r="T2" s="131" t="s">
        <v>74</v>
      </c>
    </row>
    <row r="3" spans="1:24" ht="33.75" customHeight="1" x14ac:dyDescent="0.2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  <c r="F3" s="4" t="s">
        <v>12</v>
      </c>
      <c r="G3" s="4" t="s">
        <v>13</v>
      </c>
      <c r="H3" s="4" t="s">
        <v>14</v>
      </c>
      <c r="I3" s="5" t="s">
        <v>12</v>
      </c>
      <c r="J3" s="5" t="s">
        <v>13</v>
      </c>
      <c r="K3" s="5" t="s">
        <v>14</v>
      </c>
      <c r="L3" s="6" t="s">
        <v>12</v>
      </c>
      <c r="M3" s="6" t="s">
        <v>13</v>
      </c>
      <c r="N3" s="6" t="s">
        <v>14</v>
      </c>
      <c r="O3" s="71" t="s">
        <v>12</v>
      </c>
      <c r="P3" s="71" t="s">
        <v>13</v>
      </c>
      <c r="Q3" s="71" t="s">
        <v>14</v>
      </c>
      <c r="R3" s="100" t="s">
        <v>14</v>
      </c>
      <c r="S3" s="101" t="s">
        <v>14</v>
      </c>
      <c r="T3" s="72" t="s">
        <v>75</v>
      </c>
      <c r="U3" s="73" t="s">
        <v>76</v>
      </c>
      <c r="V3" s="74" t="s">
        <v>77</v>
      </c>
      <c r="W3" s="75" t="s">
        <v>78</v>
      </c>
      <c r="X3" s="1" t="s">
        <v>79</v>
      </c>
    </row>
    <row r="4" spans="1:24" ht="12.75" customHeight="1" x14ac:dyDescent="0.25">
      <c r="A4" s="8"/>
      <c r="B4" s="9" t="s">
        <v>80</v>
      </c>
      <c r="C4" s="10" t="s">
        <v>16</v>
      </c>
      <c r="D4" s="10" t="s">
        <v>17</v>
      </c>
      <c r="E4" s="11"/>
      <c r="F4" s="12" t="s">
        <v>16</v>
      </c>
      <c r="G4" s="12" t="s">
        <v>17</v>
      </c>
      <c r="H4" s="13"/>
      <c r="I4" s="14" t="s">
        <v>16</v>
      </c>
      <c r="J4" s="14" t="s">
        <v>17</v>
      </c>
      <c r="K4" s="15"/>
      <c r="L4" s="16" t="s">
        <v>16</v>
      </c>
      <c r="M4" s="16" t="s">
        <v>17</v>
      </c>
      <c r="N4" s="17"/>
      <c r="O4" s="18" t="s">
        <v>16</v>
      </c>
      <c r="P4" s="18" t="s">
        <v>17</v>
      </c>
      <c r="Q4" s="19"/>
      <c r="R4" s="104"/>
      <c r="S4" s="106"/>
      <c r="T4" s="8"/>
      <c r="U4" s="8"/>
      <c r="V4" s="8"/>
      <c r="W4" s="8"/>
      <c r="X4" s="8"/>
    </row>
    <row r="5" spans="1:24" ht="18.95" customHeight="1" x14ac:dyDescent="0.2">
      <c r="A5" s="155" t="s">
        <v>18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50"/>
    </row>
    <row r="6" spans="1:24" ht="15.75" customHeight="1" x14ac:dyDescent="0.25">
      <c r="A6" s="20" t="s">
        <v>7</v>
      </c>
      <c r="B6" s="21" t="s">
        <v>19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132"/>
      <c r="S6" s="120"/>
      <c r="T6" s="110">
        <f t="shared" ref="T6:T19" si="0">E6+H6+K6+N6+Q6+R6+S6</f>
        <v>0</v>
      </c>
      <c r="U6" s="22"/>
      <c r="V6" s="22"/>
      <c r="W6" s="22"/>
      <c r="X6" s="22"/>
    </row>
    <row r="7" spans="1:24" ht="15.75" customHeight="1" x14ac:dyDescent="0.25">
      <c r="A7" s="20" t="s">
        <v>7</v>
      </c>
      <c r="B7" s="24" t="s">
        <v>20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133"/>
      <c r="S7" s="134"/>
      <c r="T7" s="110">
        <f t="shared" si="0"/>
        <v>0</v>
      </c>
      <c r="U7" s="22"/>
      <c r="V7" s="22"/>
      <c r="W7" s="22"/>
      <c r="X7" s="22"/>
    </row>
    <row r="8" spans="1:24" ht="15.75" customHeight="1" x14ac:dyDescent="0.25">
      <c r="A8" s="20" t="s">
        <v>7</v>
      </c>
      <c r="B8" s="21" t="s">
        <v>21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132"/>
      <c r="S8" s="120"/>
      <c r="T8" s="110">
        <f t="shared" si="0"/>
        <v>0</v>
      </c>
      <c r="U8" s="22"/>
      <c r="V8" s="22"/>
      <c r="W8" s="22"/>
      <c r="X8" s="22"/>
    </row>
    <row r="9" spans="1:24" ht="15.75" customHeight="1" x14ac:dyDescent="0.25">
      <c r="A9" s="20" t="s">
        <v>7</v>
      </c>
      <c r="B9" s="24" t="s">
        <v>22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33"/>
      <c r="S9" s="134"/>
      <c r="T9" s="110">
        <f t="shared" si="0"/>
        <v>0</v>
      </c>
      <c r="U9" s="22"/>
      <c r="V9" s="22"/>
      <c r="W9" s="22"/>
      <c r="X9" s="22"/>
    </row>
    <row r="10" spans="1:24" ht="15.75" customHeight="1" x14ac:dyDescent="0.25">
      <c r="A10" s="20" t="s">
        <v>7</v>
      </c>
      <c r="B10" s="21" t="s">
        <v>23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32"/>
      <c r="S10" s="120"/>
      <c r="T10" s="110">
        <f t="shared" si="0"/>
        <v>0</v>
      </c>
      <c r="U10" s="22"/>
      <c r="V10" s="22"/>
      <c r="W10" s="22"/>
      <c r="X10" s="22"/>
    </row>
    <row r="11" spans="1:24" ht="15.75" customHeight="1" x14ac:dyDescent="0.25">
      <c r="A11" s="20" t="s">
        <v>7</v>
      </c>
      <c r="B11" s="24" t="s">
        <v>24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33"/>
      <c r="S11" s="134"/>
      <c r="T11" s="110">
        <f t="shared" si="0"/>
        <v>0</v>
      </c>
      <c r="U11" s="22"/>
      <c r="V11" s="22"/>
      <c r="W11" s="22"/>
      <c r="X11" s="22"/>
    </row>
    <row r="12" spans="1:24" ht="15.75" customHeight="1" x14ac:dyDescent="0.25">
      <c r="A12" s="20" t="s">
        <v>7</v>
      </c>
      <c r="B12" s="21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32"/>
      <c r="S12" s="120"/>
      <c r="T12" s="110">
        <f t="shared" si="0"/>
        <v>0</v>
      </c>
      <c r="U12" s="22"/>
      <c r="V12" s="22"/>
      <c r="W12" s="22"/>
      <c r="X12" s="22"/>
    </row>
    <row r="13" spans="1:24" ht="15.75" customHeight="1" x14ac:dyDescent="0.25">
      <c r="A13" s="20" t="s">
        <v>7</v>
      </c>
      <c r="B13" s="24" t="s">
        <v>26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133"/>
      <c r="S13" s="134"/>
      <c r="T13" s="110">
        <f t="shared" si="0"/>
        <v>0</v>
      </c>
      <c r="U13" s="22"/>
      <c r="V13" s="22"/>
      <c r="W13" s="22"/>
      <c r="X13" s="22"/>
    </row>
    <row r="14" spans="1:24" ht="15.75" customHeight="1" x14ac:dyDescent="0.25">
      <c r="A14" s="20" t="s">
        <v>7</v>
      </c>
      <c r="B14" s="21" t="s">
        <v>27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132"/>
      <c r="S14" s="120"/>
      <c r="T14" s="110">
        <f t="shared" si="0"/>
        <v>0</v>
      </c>
      <c r="U14" s="22"/>
      <c r="V14" s="22"/>
      <c r="W14" s="22"/>
      <c r="X14" s="22"/>
    </row>
    <row r="15" spans="1:24" ht="15.75" customHeight="1" x14ac:dyDescent="0.25">
      <c r="A15" s="20" t="s">
        <v>7</v>
      </c>
      <c r="B15" s="24" t="s">
        <v>28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133"/>
      <c r="S15" s="134"/>
      <c r="T15" s="110">
        <f t="shared" si="0"/>
        <v>0</v>
      </c>
      <c r="U15" s="22"/>
      <c r="V15" s="22"/>
      <c r="W15" s="22"/>
      <c r="X15" s="22"/>
    </row>
    <row r="16" spans="1:24" ht="15.75" customHeight="1" x14ac:dyDescent="0.25">
      <c r="A16" s="20" t="s">
        <v>7</v>
      </c>
      <c r="B16" s="21" t="s">
        <v>29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132"/>
      <c r="S16" s="120"/>
      <c r="T16" s="110">
        <f t="shared" si="0"/>
        <v>0</v>
      </c>
      <c r="U16" s="22"/>
      <c r="V16" s="22"/>
      <c r="W16" s="22"/>
      <c r="X16" s="22"/>
    </row>
    <row r="17" spans="1:24" ht="15.75" customHeight="1" x14ac:dyDescent="0.25">
      <c r="A17" s="20" t="s">
        <v>7</v>
      </c>
      <c r="B17" s="24" t="s">
        <v>30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133"/>
      <c r="S17" s="134"/>
      <c r="T17" s="110">
        <f t="shared" si="0"/>
        <v>0</v>
      </c>
      <c r="U17" s="22"/>
      <c r="V17" s="22"/>
      <c r="W17" s="22"/>
      <c r="X17" s="22"/>
    </row>
    <row r="18" spans="1:24" ht="15.75" customHeight="1" x14ac:dyDescent="0.25">
      <c r="A18" s="20" t="s">
        <v>7</v>
      </c>
      <c r="B18" s="21" t="s">
        <v>31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132"/>
      <c r="S18" s="120"/>
      <c r="T18" s="110">
        <f t="shared" si="0"/>
        <v>0</v>
      </c>
      <c r="U18" s="22"/>
      <c r="V18" s="22"/>
      <c r="W18" s="22"/>
      <c r="X18" s="22"/>
    </row>
    <row r="19" spans="1:24" ht="15.75" customHeight="1" x14ac:dyDescent="0.25">
      <c r="A19" s="20" t="s">
        <v>7</v>
      </c>
      <c r="B19" s="24" t="s">
        <v>32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133"/>
      <c r="S19" s="134"/>
      <c r="T19" s="110">
        <f t="shared" si="0"/>
        <v>0</v>
      </c>
      <c r="U19" s="22"/>
      <c r="V19" s="22"/>
      <c r="W19" s="22"/>
      <c r="X19" s="22"/>
    </row>
    <row r="20" spans="1:24" ht="18.95" customHeight="1" x14ac:dyDescent="0.2">
      <c r="A20" s="148" t="s">
        <v>33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50"/>
    </row>
    <row r="21" spans="1:24" ht="15.75" customHeight="1" x14ac:dyDescent="0.25">
      <c r="A21" s="25" t="s">
        <v>34</v>
      </c>
      <c r="B21" s="26" t="s">
        <v>35</v>
      </c>
      <c r="C21" s="27">
        <v>23.5</v>
      </c>
      <c r="D21" s="27"/>
      <c r="E21" s="28">
        <v>23.5</v>
      </c>
      <c r="F21" s="29"/>
      <c r="G21" s="29"/>
      <c r="H21" s="29"/>
      <c r="I21" s="30"/>
      <c r="J21" s="30"/>
      <c r="K21" s="30"/>
      <c r="L21" s="31"/>
      <c r="M21" s="31"/>
      <c r="N21" s="31"/>
      <c r="O21" s="32"/>
      <c r="P21" s="32"/>
      <c r="Q21" s="32"/>
      <c r="R21" s="112"/>
      <c r="S21" s="135"/>
      <c r="T21" s="136">
        <f t="shared" ref="T21:T32" si="1">E21+H21+K21+N21+Q21+R21+S21</f>
        <v>23.5</v>
      </c>
      <c r="U21" s="76"/>
      <c r="V21" s="76"/>
      <c r="W21" s="76"/>
      <c r="X21" s="76"/>
    </row>
    <row r="22" spans="1:24" ht="15.75" customHeight="1" x14ac:dyDescent="0.25">
      <c r="A22" s="25" t="s">
        <v>34</v>
      </c>
      <c r="B22" s="34" t="s">
        <v>36</v>
      </c>
      <c r="C22" s="27"/>
      <c r="D22" s="27"/>
      <c r="E22" s="27"/>
      <c r="F22" s="29"/>
      <c r="G22" s="29"/>
      <c r="H22" s="29"/>
      <c r="I22" s="30"/>
      <c r="J22" s="30"/>
      <c r="K22" s="30"/>
      <c r="L22" s="31"/>
      <c r="M22" s="31"/>
      <c r="N22" s="31"/>
      <c r="O22" s="32"/>
      <c r="P22" s="32"/>
      <c r="Q22" s="32"/>
      <c r="R22" s="114"/>
      <c r="S22" s="137"/>
      <c r="T22" s="136">
        <f t="shared" si="1"/>
        <v>0</v>
      </c>
      <c r="U22" s="76"/>
      <c r="V22" s="76"/>
      <c r="W22" s="76"/>
      <c r="X22" s="76"/>
    </row>
    <row r="23" spans="1:24" ht="15.75" customHeight="1" x14ac:dyDescent="0.25">
      <c r="A23" s="25" t="s">
        <v>34</v>
      </c>
      <c r="B23" s="26" t="s">
        <v>37</v>
      </c>
      <c r="C23" s="27"/>
      <c r="D23" s="27"/>
      <c r="E23" s="27"/>
      <c r="F23" s="29"/>
      <c r="G23" s="29"/>
      <c r="H23" s="29"/>
      <c r="I23" s="30">
        <v>28.166699999999999</v>
      </c>
      <c r="J23" s="30">
        <v>28.25</v>
      </c>
      <c r="K23" s="35">
        <v>56.416666999999997</v>
      </c>
      <c r="L23" s="31"/>
      <c r="M23" s="31"/>
      <c r="N23" s="31"/>
      <c r="O23" s="32"/>
      <c r="P23" s="32"/>
      <c r="Q23" s="32"/>
      <c r="R23" s="112"/>
      <c r="S23" s="135"/>
      <c r="T23" s="136">
        <f t="shared" si="1"/>
        <v>56.416666999999997</v>
      </c>
      <c r="U23" s="76"/>
      <c r="V23" s="76"/>
      <c r="W23" s="76"/>
      <c r="X23" s="76"/>
    </row>
    <row r="24" spans="1:24" ht="15.75" customHeight="1" x14ac:dyDescent="0.25">
      <c r="A24" s="25" t="s">
        <v>34</v>
      </c>
      <c r="B24" s="34" t="s">
        <v>38</v>
      </c>
      <c r="C24" s="27"/>
      <c r="D24" s="27"/>
      <c r="E24" s="27"/>
      <c r="F24" s="29"/>
      <c r="G24" s="29"/>
      <c r="H24" s="29"/>
      <c r="I24" s="30"/>
      <c r="J24" s="30"/>
      <c r="K24" s="30"/>
      <c r="L24" s="31"/>
      <c r="M24" s="31"/>
      <c r="N24" s="31"/>
      <c r="O24" s="32"/>
      <c r="P24" s="32"/>
      <c r="Q24" s="32"/>
      <c r="R24" s="114"/>
      <c r="S24" s="137"/>
      <c r="T24" s="136">
        <f t="shared" si="1"/>
        <v>0</v>
      </c>
      <c r="U24" s="76"/>
      <c r="V24" s="76"/>
      <c r="W24" s="76"/>
      <c r="X24" s="76"/>
    </row>
    <row r="25" spans="1:24" ht="15.75" customHeight="1" x14ac:dyDescent="0.2">
      <c r="A25" s="25" t="s">
        <v>34</v>
      </c>
      <c r="B25" s="26" t="s">
        <v>39</v>
      </c>
      <c r="C25" s="36"/>
      <c r="D25" s="36"/>
      <c r="E25" s="36"/>
      <c r="F25" s="37"/>
      <c r="G25" s="37"/>
      <c r="H25" s="37"/>
      <c r="I25" s="38"/>
      <c r="J25" s="38"/>
      <c r="K25" s="38"/>
      <c r="L25" s="39"/>
      <c r="M25" s="39"/>
      <c r="N25" s="39"/>
      <c r="O25" s="40"/>
      <c r="P25" s="40"/>
      <c r="Q25" s="40"/>
      <c r="R25" s="115"/>
      <c r="S25" s="135"/>
      <c r="T25" s="136">
        <f t="shared" si="1"/>
        <v>0</v>
      </c>
      <c r="U25" s="77"/>
      <c r="V25" s="77"/>
      <c r="W25" s="77"/>
      <c r="X25" s="77"/>
    </row>
    <row r="26" spans="1:24" ht="15.75" customHeight="1" x14ac:dyDescent="0.2">
      <c r="A26" s="25" t="s">
        <v>34</v>
      </c>
      <c r="B26" s="34" t="s">
        <v>40</v>
      </c>
      <c r="C26" s="78"/>
      <c r="D26" s="78"/>
      <c r="E26" s="36"/>
      <c r="F26" s="37"/>
      <c r="G26" s="37"/>
      <c r="H26" s="37"/>
      <c r="I26" s="38"/>
      <c r="J26" s="38"/>
      <c r="K26" s="38"/>
      <c r="L26" s="39"/>
      <c r="M26" s="39"/>
      <c r="N26" s="39"/>
      <c r="O26" s="40"/>
      <c r="P26" s="40"/>
      <c r="Q26" s="40"/>
      <c r="R26" s="117"/>
      <c r="S26" s="137"/>
      <c r="T26" s="136">
        <f t="shared" si="1"/>
        <v>0</v>
      </c>
      <c r="U26" s="77"/>
      <c r="V26" s="77"/>
      <c r="W26" s="77"/>
      <c r="X26" s="77"/>
    </row>
    <row r="27" spans="1:24" ht="15.75" customHeight="1" x14ac:dyDescent="0.25">
      <c r="A27" s="25" t="s">
        <v>34</v>
      </c>
      <c r="B27" s="26" t="s">
        <v>41</v>
      </c>
      <c r="C27" s="27"/>
      <c r="D27" s="27"/>
      <c r="E27" s="27"/>
      <c r="F27" s="29"/>
      <c r="G27" s="29"/>
      <c r="H27" s="29"/>
      <c r="I27" s="30"/>
      <c r="J27" s="30"/>
      <c r="K27" s="30"/>
      <c r="L27" s="31">
        <v>32</v>
      </c>
      <c r="M27" s="31"/>
      <c r="N27" s="46">
        <v>32</v>
      </c>
      <c r="O27" s="32"/>
      <c r="P27" s="32"/>
      <c r="Q27" s="32"/>
      <c r="R27" s="112"/>
      <c r="S27" s="135"/>
      <c r="T27" s="136">
        <f t="shared" si="1"/>
        <v>32</v>
      </c>
      <c r="U27" s="76"/>
      <c r="V27" s="76"/>
      <c r="W27" s="76"/>
      <c r="X27" s="76"/>
    </row>
    <row r="28" spans="1:24" ht="15.75" customHeight="1" x14ac:dyDescent="0.25">
      <c r="A28" s="25" t="s">
        <v>34</v>
      </c>
      <c r="B28" s="34" t="s">
        <v>42</v>
      </c>
      <c r="C28" s="27"/>
      <c r="D28" s="27"/>
      <c r="E28" s="27"/>
      <c r="F28" s="29"/>
      <c r="G28" s="29"/>
      <c r="H28" s="29"/>
      <c r="I28" s="30"/>
      <c r="J28" s="30"/>
      <c r="K28" s="30"/>
      <c r="L28" s="31"/>
      <c r="M28" s="31"/>
      <c r="N28" s="31"/>
      <c r="O28" s="32"/>
      <c r="P28" s="32"/>
      <c r="Q28" s="32"/>
      <c r="R28" s="114"/>
      <c r="S28" s="137"/>
      <c r="T28" s="136">
        <f t="shared" si="1"/>
        <v>0</v>
      </c>
      <c r="U28" s="76"/>
      <c r="V28" s="76"/>
      <c r="W28" s="76"/>
      <c r="X28" s="76"/>
    </row>
    <row r="29" spans="1:24" ht="15.75" customHeight="1" x14ac:dyDescent="0.25">
      <c r="A29" s="25" t="s">
        <v>34</v>
      </c>
      <c r="B29" s="26" t="s">
        <v>43</v>
      </c>
      <c r="C29" s="27"/>
      <c r="D29" s="27"/>
      <c r="E29" s="27"/>
      <c r="F29" s="29">
        <v>17.629000000000001</v>
      </c>
      <c r="G29" s="29">
        <v>35.037700000000001</v>
      </c>
      <c r="H29" s="45">
        <v>52.666666999999997</v>
      </c>
      <c r="I29" s="30"/>
      <c r="J29" s="30"/>
      <c r="K29" s="30"/>
      <c r="L29" s="31"/>
      <c r="M29" s="31"/>
      <c r="N29" s="31"/>
      <c r="O29" s="32">
        <v>6.6666999999999996</v>
      </c>
      <c r="P29" s="32">
        <v>13.25</v>
      </c>
      <c r="Q29" s="47">
        <v>19.916667</v>
      </c>
      <c r="R29" s="119"/>
      <c r="S29" s="135"/>
      <c r="T29" s="136">
        <f t="shared" si="1"/>
        <v>72.583333999999994</v>
      </c>
      <c r="U29" s="76"/>
      <c r="V29" s="76"/>
      <c r="W29" s="76"/>
      <c r="X29" s="76"/>
    </row>
    <row r="30" spans="1:24" ht="15.75" customHeight="1" x14ac:dyDescent="0.25">
      <c r="A30" s="25" t="s">
        <v>34</v>
      </c>
      <c r="B30" s="34" t="s">
        <v>44</v>
      </c>
      <c r="C30" s="27"/>
      <c r="D30" s="27"/>
      <c r="E30" s="27"/>
      <c r="F30" s="29"/>
      <c r="G30" s="29"/>
      <c r="H30" s="29"/>
      <c r="I30" s="30"/>
      <c r="J30" s="30"/>
      <c r="K30" s="30"/>
      <c r="L30" s="31"/>
      <c r="M30" s="31"/>
      <c r="N30" s="31"/>
      <c r="O30" s="32"/>
      <c r="P30" s="32"/>
      <c r="Q30" s="32"/>
      <c r="R30" s="114"/>
      <c r="S30" s="137"/>
      <c r="T30" s="136">
        <f t="shared" si="1"/>
        <v>0</v>
      </c>
      <c r="U30" s="76"/>
      <c r="V30" s="76"/>
      <c r="W30" s="76"/>
      <c r="X30" s="76"/>
    </row>
    <row r="31" spans="1:24" ht="15.75" customHeight="1" x14ac:dyDescent="0.2">
      <c r="A31" s="25" t="s">
        <v>34</v>
      </c>
      <c r="B31" s="26" t="s">
        <v>45</v>
      </c>
      <c r="C31" s="36"/>
      <c r="D31" s="36"/>
      <c r="E31" s="36"/>
      <c r="F31" s="37">
        <v>32.2316</v>
      </c>
      <c r="G31" s="37">
        <v>37.0184</v>
      </c>
      <c r="H31" s="79">
        <v>69.25</v>
      </c>
      <c r="I31" s="38"/>
      <c r="J31" s="38"/>
      <c r="K31" s="38"/>
      <c r="L31" s="39">
        <v>1.4351</v>
      </c>
      <c r="M31" s="39">
        <v>1.6482000000000001</v>
      </c>
      <c r="N31" s="80">
        <v>3.0833333330000001</v>
      </c>
      <c r="O31" s="40"/>
      <c r="P31" s="40"/>
      <c r="Q31" s="40"/>
      <c r="R31" s="115"/>
      <c r="S31" s="135"/>
      <c r="T31" s="136">
        <f t="shared" si="1"/>
        <v>72.333333332999999</v>
      </c>
      <c r="U31" s="81"/>
      <c r="V31" s="81"/>
      <c r="W31" s="81"/>
      <c r="X31" s="81"/>
    </row>
    <row r="32" spans="1:24" ht="15.75" customHeight="1" x14ac:dyDescent="0.25">
      <c r="A32" s="25" t="s">
        <v>34</v>
      </c>
      <c r="B32" s="34" t="s">
        <v>46</v>
      </c>
      <c r="C32" s="78"/>
      <c r="D32" s="78"/>
      <c r="E32" s="36"/>
      <c r="F32" s="37"/>
      <c r="G32" s="37"/>
      <c r="H32" s="37"/>
      <c r="I32" s="38"/>
      <c r="J32" s="38"/>
      <c r="K32" s="38"/>
      <c r="L32" s="39"/>
      <c r="M32" s="39"/>
      <c r="N32" s="39"/>
      <c r="O32" s="40"/>
      <c r="P32" s="40"/>
      <c r="Q32" s="40"/>
      <c r="R32" s="117"/>
      <c r="S32" s="137"/>
      <c r="T32" s="136">
        <f t="shared" si="1"/>
        <v>0</v>
      </c>
      <c r="U32" s="76"/>
      <c r="V32" s="76"/>
      <c r="W32" s="76"/>
      <c r="X32" s="76"/>
    </row>
    <row r="33" spans="1:24" ht="18.95" customHeight="1" x14ac:dyDescent="0.2">
      <c r="A33" s="159" t="s">
        <v>47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50"/>
    </row>
    <row r="34" spans="1:24" ht="15.75" customHeight="1" x14ac:dyDescent="0.25">
      <c r="A34" s="41" t="s">
        <v>48</v>
      </c>
      <c r="B34" s="42" t="s">
        <v>49</v>
      </c>
      <c r="C34" s="27"/>
      <c r="D34" s="27"/>
      <c r="E34" s="27"/>
      <c r="F34" s="29"/>
      <c r="G34" s="29"/>
      <c r="H34" s="29"/>
      <c r="I34" s="30">
        <v>3.1667000000000001</v>
      </c>
      <c r="J34" s="30"/>
      <c r="K34" s="35">
        <v>3.1666669999999999</v>
      </c>
      <c r="L34" s="31"/>
      <c r="M34" s="31"/>
      <c r="N34" s="31"/>
      <c r="O34" s="32"/>
      <c r="P34" s="32"/>
      <c r="Q34" s="32"/>
      <c r="R34" s="112"/>
      <c r="S34" s="135"/>
      <c r="T34" s="138">
        <f t="shared" ref="T34:T53" si="2">E34+H34+K34+N34+Q34+R34+S34</f>
        <v>3.1666669999999999</v>
      </c>
      <c r="U34" s="82"/>
      <c r="V34" s="82"/>
      <c r="W34" s="82"/>
      <c r="X34" s="82"/>
    </row>
    <row r="35" spans="1:24" ht="15.75" customHeight="1" x14ac:dyDescent="0.25">
      <c r="A35" s="41" t="s">
        <v>48</v>
      </c>
      <c r="B35" s="44" t="s">
        <v>50</v>
      </c>
      <c r="C35" s="27"/>
      <c r="D35" s="27"/>
      <c r="E35" s="27"/>
      <c r="F35" s="29"/>
      <c r="G35" s="29"/>
      <c r="H35" s="29"/>
      <c r="I35" s="30"/>
      <c r="J35" s="30"/>
      <c r="K35" s="30"/>
      <c r="L35" s="31"/>
      <c r="M35" s="31"/>
      <c r="N35" s="31"/>
      <c r="O35" s="32"/>
      <c r="P35" s="32"/>
      <c r="Q35" s="32"/>
      <c r="R35" s="118"/>
      <c r="S35" s="139"/>
      <c r="T35" s="138">
        <f t="shared" si="2"/>
        <v>0</v>
      </c>
      <c r="U35" s="82"/>
      <c r="V35" s="82"/>
      <c r="W35" s="82"/>
      <c r="X35" s="82"/>
    </row>
    <row r="36" spans="1:24" ht="15.75" customHeight="1" x14ac:dyDescent="0.25">
      <c r="A36" s="41" t="s">
        <v>48</v>
      </c>
      <c r="B36" s="42" t="s">
        <v>51</v>
      </c>
      <c r="C36" s="27"/>
      <c r="D36" s="27"/>
      <c r="E36" s="27"/>
      <c r="F36" s="29">
        <v>7.7736000000000001</v>
      </c>
      <c r="G36" s="29">
        <v>5.4763999999999999</v>
      </c>
      <c r="H36" s="45">
        <v>13.25</v>
      </c>
      <c r="I36" s="30">
        <v>12.956</v>
      </c>
      <c r="J36" s="30">
        <v>9.1273</v>
      </c>
      <c r="K36" s="35">
        <v>22.083333</v>
      </c>
      <c r="L36" s="31">
        <v>8.7025000000000006</v>
      </c>
      <c r="M36" s="31">
        <v>6.1307999999999998</v>
      </c>
      <c r="N36" s="46">
        <v>14.833333</v>
      </c>
      <c r="O36" s="32">
        <v>2.1511999999999998</v>
      </c>
      <c r="P36" s="32">
        <v>1.5155000000000001</v>
      </c>
      <c r="Q36" s="47">
        <v>3.6666669999999999</v>
      </c>
      <c r="R36" s="119"/>
      <c r="S36" s="135"/>
      <c r="T36" s="138">
        <f t="shared" si="2"/>
        <v>53.833332999999989</v>
      </c>
      <c r="U36" s="82"/>
      <c r="V36" s="82"/>
      <c r="W36" s="82"/>
      <c r="X36" s="82"/>
    </row>
    <row r="37" spans="1:24" ht="15.75" customHeight="1" x14ac:dyDescent="0.25">
      <c r="A37" s="41" t="s">
        <v>48</v>
      </c>
      <c r="B37" s="44" t="s">
        <v>52</v>
      </c>
      <c r="C37" s="27"/>
      <c r="D37" s="27"/>
      <c r="E37" s="27"/>
      <c r="F37" s="29"/>
      <c r="G37" s="29"/>
      <c r="H37" s="29"/>
      <c r="I37" s="30"/>
      <c r="J37" s="30"/>
      <c r="K37" s="30"/>
      <c r="L37" s="31"/>
      <c r="M37" s="31"/>
      <c r="N37" s="31"/>
      <c r="O37" s="32"/>
      <c r="P37" s="32"/>
      <c r="Q37" s="32"/>
      <c r="R37" s="118"/>
      <c r="S37" s="139"/>
      <c r="T37" s="138">
        <f t="shared" si="2"/>
        <v>0</v>
      </c>
      <c r="U37" s="82"/>
      <c r="V37" s="82"/>
      <c r="W37" s="82"/>
      <c r="X37" s="82"/>
    </row>
    <row r="38" spans="1:24" ht="15.75" customHeight="1" x14ac:dyDescent="0.25">
      <c r="A38" s="41" t="s">
        <v>48</v>
      </c>
      <c r="B38" s="42" t="s">
        <v>53</v>
      </c>
      <c r="C38" s="27"/>
      <c r="D38" s="27"/>
      <c r="E38" s="27"/>
      <c r="F38" s="29"/>
      <c r="G38" s="29">
        <v>14.666700000000001</v>
      </c>
      <c r="H38" s="45">
        <v>14.666667</v>
      </c>
      <c r="I38" s="30"/>
      <c r="J38" s="30">
        <v>5.5</v>
      </c>
      <c r="K38" s="35">
        <v>5.5</v>
      </c>
      <c r="L38" s="31"/>
      <c r="M38" s="31"/>
      <c r="N38" s="31"/>
      <c r="O38" s="32"/>
      <c r="P38" s="32"/>
      <c r="Q38" s="32"/>
      <c r="R38" s="112"/>
      <c r="S38" s="135"/>
      <c r="T38" s="138">
        <f t="shared" si="2"/>
        <v>20.166667</v>
      </c>
      <c r="U38" s="82"/>
      <c r="V38" s="82"/>
      <c r="W38" s="82"/>
      <c r="X38" s="82"/>
    </row>
    <row r="39" spans="1:24" ht="15.75" customHeight="1" x14ac:dyDescent="0.25">
      <c r="A39" s="41" t="s">
        <v>48</v>
      </c>
      <c r="B39" s="44" t="s">
        <v>54</v>
      </c>
      <c r="C39" s="27"/>
      <c r="D39" s="27"/>
      <c r="E39" s="27"/>
      <c r="F39" s="29"/>
      <c r="G39" s="29"/>
      <c r="H39" s="29"/>
      <c r="I39" s="30"/>
      <c r="J39" s="30"/>
      <c r="K39" s="30"/>
      <c r="L39" s="31"/>
      <c r="M39" s="31"/>
      <c r="N39" s="31"/>
      <c r="O39" s="32"/>
      <c r="P39" s="32"/>
      <c r="Q39" s="32"/>
      <c r="R39" s="118"/>
      <c r="S39" s="139"/>
      <c r="T39" s="138">
        <f t="shared" si="2"/>
        <v>0</v>
      </c>
      <c r="U39" s="82"/>
      <c r="V39" s="82"/>
      <c r="W39" s="82"/>
      <c r="X39" s="82"/>
    </row>
    <row r="40" spans="1:24" ht="15.75" customHeight="1" x14ac:dyDescent="0.25">
      <c r="A40" s="41" t="s">
        <v>48</v>
      </c>
      <c r="B40" s="42" t="s">
        <v>55</v>
      </c>
      <c r="C40" s="27">
        <v>4.25</v>
      </c>
      <c r="D40" s="27"/>
      <c r="E40" s="28">
        <v>4.25</v>
      </c>
      <c r="F40" s="29">
        <v>17.666699999999999</v>
      </c>
      <c r="G40" s="29"/>
      <c r="H40" s="45">
        <v>17.666667</v>
      </c>
      <c r="I40" s="30">
        <v>3.4167000000000001</v>
      </c>
      <c r="J40" s="30"/>
      <c r="K40" s="35">
        <v>3.4166669999999999</v>
      </c>
      <c r="L40" s="31">
        <v>4</v>
      </c>
      <c r="M40" s="31"/>
      <c r="N40" s="46">
        <v>4</v>
      </c>
      <c r="O40" s="32"/>
      <c r="P40" s="32"/>
      <c r="Q40" s="32"/>
      <c r="R40" s="112"/>
      <c r="S40" s="135"/>
      <c r="T40" s="138">
        <f t="shared" si="2"/>
        <v>29.333334000000001</v>
      </c>
      <c r="U40" s="82"/>
      <c r="V40" s="82"/>
      <c r="W40" s="82"/>
      <c r="X40" s="82"/>
    </row>
    <row r="41" spans="1:24" ht="15.75" customHeight="1" x14ac:dyDescent="0.25">
      <c r="A41" s="41" t="s">
        <v>48</v>
      </c>
      <c r="B41" s="44" t="s">
        <v>56</v>
      </c>
      <c r="C41" s="27"/>
      <c r="D41" s="27"/>
      <c r="E41" s="27"/>
      <c r="F41" s="29"/>
      <c r="G41" s="29"/>
      <c r="H41" s="29"/>
      <c r="I41" s="30"/>
      <c r="J41" s="30"/>
      <c r="K41" s="30"/>
      <c r="L41" s="31"/>
      <c r="M41" s="31"/>
      <c r="N41" s="31"/>
      <c r="O41" s="32"/>
      <c r="P41" s="32"/>
      <c r="Q41" s="32"/>
      <c r="R41" s="118"/>
      <c r="S41" s="139"/>
      <c r="T41" s="138">
        <f t="shared" si="2"/>
        <v>0</v>
      </c>
      <c r="U41" s="82"/>
      <c r="V41" s="82"/>
      <c r="W41" s="82"/>
      <c r="X41" s="82"/>
    </row>
    <row r="42" spans="1:24" ht="15.75" customHeight="1" x14ac:dyDescent="0.2">
      <c r="A42" s="41" t="s">
        <v>48</v>
      </c>
      <c r="B42" s="42" t="s">
        <v>57</v>
      </c>
      <c r="C42" s="27"/>
      <c r="D42" s="27"/>
      <c r="E42" s="27"/>
      <c r="F42" s="29">
        <v>6.4790000000000001</v>
      </c>
      <c r="G42" s="29">
        <v>7.7709999999999999</v>
      </c>
      <c r="H42" s="45">
        <v>14.25</v>
      </c>
      <c r="I42" s="30">
        <v>21.9377</v>
      </c>
      <c r="J42" s="30">
        <v>26.3123</v>
      </c>
      <c r="K42" s="35">
        <v>48.25</v>
      </c>
      <c r="L42" s="31"/>
      <c r="M42" s="31"/>
      <c r="N42" s="31"/>
      <c r="O42" s="32"/>
      <c r="P42" s="32"/>
      <c r="Q42" s="32"/>
      <c r="R42" s="112"/>
      <c r="S42" s="135"/>
      <c r="T42" s="138">
        <f t="shared" si="2"/>
        <v>62.5</v>
      </c>
      <c r="U42" s="83">
        <v>2.5</v>
      </c>
      <c r="V42" s="84">
        <f>IF((E58+H58)&gt;0,U42*E58/(E58+H58),"")</f>
        <v>0.77813163934709983</v>
      </c>
      <c r="W42" s="85">
        <f>IF((E58+H58)&gt;0,U42*H58/(E58+H58),"")</f>
        <v>1.7218683606528999</v>
      </c>
      <c r="X42" s="86" t="s">
        <v>81</v>
      </c>
    </row>
    <row r="43" spans="1:24" ht="15.75" customHeight="1" x14ac:dyDescent="0.25">
      <c r="A43" s="41" t="s">
        <v>48</v>
      </c>
      <c r="B43" s="44" t="s">
        <v>58</v>
      </c>
      <c r="C43" s="27"/>
      <c r="D43" s="27"/>
      <c r="E43" s="27"/>
      <c r="F43" s="29"/>
      <c r="G43" s="29"/>
      <c r="H43" s="29"/>
      <c r="I43" s="30"/>
      <c r="J43" s="30"/>
      <c r="K43" s="30"/>
      <c r="L43" s="31"/>
      <c r="M43" s="31"/>
      <c r="N43" s="31"/>
      <c r="O43" s="32"/>
      <c r="P43" s="32"/>
      <c r="Q43" s="32"/>
      <c r="R43" s="118"/>
      <c r="S43" s="139"/>
      <c r="T43" s="138">
        <f t="shared" si="2"/>
        <v>0</v>
      </c>
      <c r="U43" s="82"/>
      <c r="V43" s="82"/>
      <c r="W43" s="82"/>
      <c r="X43" s="82"/>
    </row>
    <row r="44" spans="1:24" ht="15.75" customHeight="1" x14ac:dyDescent="0.25">
      <c r="A44" s="41" t="s">
        <v>48</v>
      </c>
      <c r="B44" s="42" t="s">
        <v>59</v>
      </c>
      <c r="C44" s="27"/>
      <c r="D44" s="27"/>
      <c r="E44" s="27"/>
      <c r="F44" s="29">
        <v>8.9326000000000008</v>
      </c>
      <c r="G44" s="29">
        <v>13.150700000000001</v>
      </c>
      <c r="H44" s="45">
        <v>22.083333</v>
      </c>
      <c r="I44" s="30">
        <v>3.0337000000000001</v>
      </c>
      <c r="J44" s="30">
        <v>4.4663000000000004</v>
      </c>
      <c r="K44" s="35">
        <v>7.5</v>
      </c>
      <c r="L44" s="31">
        <v>3.0337000000000001</v>
      </c>
      <c r="M44" s="31">
        <v>4.4663000000000004</v>
      </c>
      <c r="N44" s="46">
        <v>7.5</v>
      </c>
      <c r="O44" s="32"/>
      <c r="P44" s="32"/>
      <c r="Q44" s="32"/>
      <c r="R44" s="112"/>
      <c r="S44" s="135"/>
      <c r="T44" s="138">
        <f t="shared" si="2"/>
        <v>37.083332999999996</v>
      </c>
      <c r="U44" s="82"/>
      <c r="V44" s="82"/>
      <c r="W44" s="82"/>
      <c r="X44" s="82"/>
    </row>
    <row r="45" spans="1:24" ht="15.75" customHeight="1" x14ac:dyDescent="0.25">
      <c r="A45" s="41" t="s">
        <v>48</v>
      </c>
      <c r="B45" s="44" t="s">
        <v>60</v>
      </c>
      <c r="C45" s="27"/>
      <c r="D45" s="27"/>
      <c r="E45" s="27"/>
      <c r="F45" s="29"/>
      <c r="G45" s="29"/>
      <c r="H45" s="29"/>
      <c r="I45" s="30"/>
      <c r="J45" s="30"/>
      <c r="K45" s="30"/>
      <c r="L45" s="31"/>
      <c r="M45" s="31"/>
      <c r="N45" s="31"/>
      <c r="O45" s="32"/>
      <c r="P45" s="32"/>
      <c r="Q45" s="32"/>
      <c r="R45" s="118"/>
      <c r="S45" s="139"/>
      <c r="T45" s="138">
        <f t="shared" si="2"/>
        <v>0</v>
      </c>
      <c r="U45" s="82"/>
      <c r="V45" s="82"/>
      <c r="W45" s="82"/>
      <c r="X45" s="82"/>
    </row>
    <row r="46" spans="1:24" ht="15.75" customHeight="1" x14ac:dyDescent="0.25">
      <c r="A46" s="41" t="s">
        <v>48</v>
      </c>
      <c r="B46" s="42" t="s">
        <v>61</v>
      </c>
      <c r="C46" s="27">
        <v>19.166699999999999</v>
      </c>
      <c r="D46" s="27"/>
      <c r="E46" s="28">
        <v>19.166667</v>
      </c>
      <c r="F46" s="29">
        <v>3.6667000000000001</v>
      </c>
      <c r="G46" s="29"/>
      <c r="H46" s="45">
        <v>3.6666669999999999</v>
      </c>
      <c r="I46" s="30"/>
      <c r="J46" s="30"/>
      <c r="K46" s="30"/>
      <c r="L46" s="31"/>
      <c r="M46" s="31"/>
      <c r="N46" s="31"/>
      <c r="O46" s="32"/>
      <c r="P46" s="32"/>
      <c r="Q46" s="32"/>
      <c r="R46" s="112"/>
      <c r="S46" s="135"/>
      <c r="T46" s="138">
        <f t="shared" si="2"/>
        <v>22.833334000000001</v>
      </c>
      <c r="U46" s="82"/>
      <c r="V46" s="82"/>
      <c r="W46" s="82"/>
      <c r="X46" s="82"/>
    </row>
    <row r="47" spans="1:24" ht="15.75" customHeight="1" x14ac:dyDescent="0.25">
      <c r="A47" s="41" t="s">
        <v>48</v>
      </c>
      <c r="B47" s="44" t="s">
        <v>62</v>
      </c>
      <c r="C47" s="27"/>
      <c r="D47" s="27"/>
      <c r="E47" s="27"/>
      <c r="F47" s="29"/>
      <c r="G47" s="29"/>
      <c r="H47" s="29"/>
      <c r="I47" s="30"/>
      <c r="J47" s="30"/>
      <c r="K47" s="30"/>
      <c r="L47" s="31"/>
      <c r="M47" s="31"/>
      <c r="N47" s="31"/>
      <c r="O47" s="32"/>
      <c r="P47" s="32"/>
      <c r="Q47" s="32"/>
      <c r="R47" s="118"/>
      <c r="S47" s="139"/>
      <c r="T47" s="138">
        <f t="shared" si="2"/>
        <v>0</v>
      </c>
      <c r="U47" s="82"/>
      <c r="V47" s="82"/>
      <c r="W47" s="82"/>
      <c r="X47" s="82"/>
    </row>
    <row r="48" spans="1:24" ht="15.75" customHeight="1" x14ac:dyDescent="0.25">
      <c r="A48" s="41" t="s">
        <v>48</v>
      </c>
      <c r="B48" s="42" t="s">
        <v>63</v>
      </c>
      <c r="C48" s="27">
        <v>22.416699999999999</v>
      </c>
      <c r="D48" s="27"/>
      <c r="E48" s="28">
        <v>22.416667</v>
      </c>
      <c r="F48" s="29">
        <v>3.25</v>
      </c>
      <c r="G48" s="29"/>
      <c r="H48" s="45">
        <v>3.25</v>
      </c>
      <c r="I48" s="30">
        <v>1.25</v>
      </c>
      <c r="J48" s="30"/>
      <c r="K48" s="35">
        <v>1.25</v>
      </c>
      <c r="L48" s="31"/>
      <c r="M48" s="31"/>
      <c r="N48" s="31"/>
      <c r="O48" s="32"/>
      <c r="P48" s="32"/>
      <c r="Q48" s="32"/>
      <c r="R48" s="112"/>
      <c r="S48" s="135"/>
      <c r="T48" s="138">
        <f t="shared" si="2"/>
        <v>26.916667</v>
      </c>
      <c r="U48" s="82"/>
      <c r="V48" s="82"/>
      <c r="W48" s="82"/>
      <c r="X48" s="82"/>
    </row>
    <row r="49" spans="1:24" ht="15.75" customHeight="1" x14ac:dyDescent="0.25">
      <c r="A49" s="41" t="s">
        <v>48</v>
      </c>
      <c r="B49" s="44" t="s">
        <v>64</v>
      </c>
      <c r="C49" s="27"/>
      <c r="D49" s="27"/>
      <c r="E49" s="27"/>
      <c r="F49" s="29"/>
      <c r="G49" s="29"/>
      <c r="H49" s="29"/>
      <c r="I49" s="30"/>
      <c r="J49" s="30"/>
      <c r="K49" s="30"/>
      <c r="L49" s="31"/>
      <c r="M49" s="31"/>
      <c r="N49" s="31"/>
      <c r="O49" s="32"/>
      <c r="P49" s="32"/>
      <c r="Q49" s="32"/>
      <c r="R49" s="118"/>
      <c r="S49" s="139"/>
      <c r="T49" s="138">
        <f t="shared" si="2"/>
        <v>0</v>
      </c>
      <c r="U49" s="82"/>
      <c r="V49" s="82"/>
      <c r="W49" s="82"/>
      <c r="X49" s="82"/>
    </row>
    <row r="50" spans="1:24" ht="15.75" customHeight="1" x14ac:dyDescent="0.2">
      <c r="A50" s="41" t="s">
        <v>48</v>
      </c>
      <c r="B50" s="42" t="s">
        <v>65</v>
      </c>
      <c r="C50" s="27">
        <v>3.9207999999999998</v>
      </c>
      <c r="D50" s="27">
        <v>3.8292000000000002</v>
      </c>
      <c r="E50" s="28">
        <v>7.75</v>
      </c>
      <c r="F50" s="29">
        <v>23.4406</v>
      </c>
      <c r="G50" s="29">
        <v>22.892700000000001</v>
      </c>
      <c r="H50" s="45">
        <v>46.333333000000003</v>
      </c>
      <c r="I50" s="30">
        <v>4.7218999999999998</v>
      </c>
      <c r="J50" s="30">
        <v>4.6115000000000004</v>
      </c>
      <c r="K50" s="35">
        <v>9.3333329999999997</v>
      </c>
      <c r="L50" s="31"/>
      <c r="M50" s="31"/>
      <c r="N50" s="31"/>
      <c r="O50" s="32"/>
      <c r="P50" s="32"/>
      <c r="Q50" s="32"/>
      <c r="R50" s="112"/>
      <c r="S50" s="135"/>
      <c r="T50" s="138">
        <f t="shared" si="2"/>
        <v>63.416666000000006</v>
      </c>
      <c r="U50" s="83">
        <v>3.4167000000000001</v>
      </c>
      <c r="V50" s="84">
        <f>IF((E58+H58)&gt;0,U50*E58/(E58+H58),"")</f>
        <v>1.0634569488628944</v>
      </c>
      <c r="W50" s="85">
        <f>IF((E58+H58)&gt;0,U50*H58/(E58+H58),"")</f>
        <v>2.3532430511371056</v>
      </c>
      <c r="X50" s="86" t="s">
        <v>82</v>
      </c>
    </row>
    <row r="51" spans="1:24" ht="15.75" customHeight="1" x14ac:dyDescent="0.25">
      <c r="A51" s="41" t="s">
        <v>48</v>
      </c>
      <c r="B51" s="44" t="s">
        <v>66</v>
      </c>
      <c r="C51" s="27"/>
      <c r="D51" s="27"/>
      <c r="E51" s="27"/>
      <c r="F51" s="29"/>
      <c r="G51" s="29"/>
      <c r="H51" s="29"/>
      <c r="I51" s="30"/>
      <c r="J51" s="30"/>
      <c r="K51" s="30"/>
      <c r="L51" s="31"/>
      <c r="M51" s="31"/>
      <c r="N51" s="31"/>
      <c r="O51" s="32"/>
      <c r="P51" s="32"/>
      <c r="Q51" s="32"/>
      <c r="R51" s="118"/>
      <c r="S51" s="139"/>
      <c r="T51" s="138">
        <f t="shared" si="2"/>
        <v>0</v>
      </c>
      <c r="U51" s="82"/>
      <c r="V51" s="82"/>
      <c r="W51" s="82"/>
      <c r="X51" s="82"/>
    </row>
    <row r="52" spans="1:24" ht="18.75" customHeight="1" x14ac:dyDescent="0.25">
      <c r="A52" s="41" t="s">
        <v>48</v>
      </c>
      <c r="B52" s="42" t="s">
        <v>67</v>
      </c>
      <c r="C52" s="27">
        <v>3.6985999999999999</v>
      </c>
      <c r="D52" s="27">
        <v>3.8014000000000001</v>
      </c>
      <c r="E52" s="28">
        <v>7.5</v>
      </c>
      <c r="F52" s="29"/>
      <c r="G52" s="29"/>
      <c r="H52" s="29"/>
      <c r="I52" s="30">
        <v>3.6164000000000001</v>
      </c>
      <c r="J52" s="30">
        <v>3.7168999999999999</v>
      </c>
      <c r="K52" s="35">
        <v>7.3333329999999997</v>
      </c>
      <c r="L52" s="31">
        <v>2.7534000000000001</v>
      </c>
      <c r="M52" s="31">
        <v>2.8298999999999999</v>
      </c>
      <c r="N52" s="46">
        <v>5.5833329999999997</v>
      </c>
      <c r="O52" s="32">
        <v>10.9315</v>
      </c>
      <c r="P52" s="32">
        <v>11.235200000000001</v>
      </c>
      <c r="Q52" s="47">
        <v>22.166667</v>
      </c>
      <c r="R52" s="119"/>
      <c r="S52" s="135"/>
      <c r="T52" s="138">
        <f t="shared" si="2"/>
        <v>42.583332999999996</v>
      </c>
      <c r="U52" s="82"/>
      <c r="V52" s="82"/>
      <c r="W52" s="82"/>
      <c r="X52" s="82"/>
    </row>
    <row r="53" spans="1:24" ht="15.75" customHeight="1" x14ac:dyDescent="0.25">
      <c r="A53" s="41" t="s">
        <v>48</v>
      </c>
      <c r="B53" s="44" t="s">
        <v>68</v>
      </c>
      <c r="C53" s="27"/>
      <c r="D53" s="27"/>
      <c r="E53" s="27"/>
      <c r="F53" s="29"/>
      <c r="G53" s="29"/>
      <c r="H53" s="29"/>
      <c r="I53" s="30"/>
      <c r="J53" s="30"/>
      <c r="K53" s="30"/>
      <c r="L53" s="31"/>
      <c r="M53" s="31"/>
      <c r="N53" s="31"/>
      <c r="O53" s="32"/>
      <c r="P53" s="32"/>
      <c r="Q53" s="32"/>
      <c r="R53" s="118"/>
      <c r="S53" s="139"/>
      <c r="T53" s="138">
        <f t="shared" si="2"/>
        <v>0</v>
      </c>
      <c r="U53" s="82"/>
      <c r="V53" s="82"/>
      <c r="W53" s="82"/>
      <c r="X53" s="82"/>
    </row>
    <row r="54" spans="1:24" ht="18.75" customHeight="1" x14ac:dyDescent="0.25">
      <c r="A54" s="48"/>
      <c r="B54" s="49" t="s">
        <v>69</v>
      </c>
      <c r="C54" s="50"/>
      <c r="D54" s="50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121">
        <f>SUM(R6,R7,R8,R9,R10,R11,R12,R13,R14,R15,R16,R17,R18,R19)</f>
        <v>0</v>
      </c>
      <c r="S54" s="122">
        <f>SUM(S6,S7,S8,S9,S10,S11,S12,S13,S14,S15,S16,S17,S18,S19)</f>
        <v>0</v>
      </c>
      <c r="T54" s="123">
        <f>SUM(T6,T7,T8,T9,T10,T11,T12,T13,T14,T15,T16,T17,T18,T19)</f>
        <v>0</v>
      </c>
      <c r="U54" s="88"/>
      <c r="V54" s="88"/>
      <c r="W54" s="88"/>
      <c r="X54" s="88"/>
    </row>
    <row r="55" spans="1:24" ht="15.75" customHeight="1" x14ac:dyDescent="0.2"/>
    <row r="56" spans="1:24" ht="18.75" customHeight="1" x14ac:dyDescent="0.25">
      <c r="A56" s="52"/>
      <c r="B56" s="53" t="s">
        <v>70</v>
      </c>
      <c r="C56" s="51">
        <f t="shared" ref="C56:T56" si="3">SUM(C21,C22,C23,C24,C25,C26,C27,C28,C29,C30,C31,C32)</f>
        <v>23.5</v>
      </c>
      <c r="D56" s="51">
        <f t="shared" si="3"/>
        <v>0</v>
      </c>
      <c r="E56" s="51">
        <f t="shared" si="3"/>
        <v>23.5</v>
      </c>
      <c r="F56" s="54">
        <f t="shared" si="3"/>
        <v>49.860600000000005</v>
      </c>
      <c r="G56" s="54">
        <f t="shared" si="3"/>
        <v>72.056100000000001</v>
      </c>
      <c r="H56" s="54">
        <f t="shared" si="3"/>
        <v>121.91666699999999</v>
      </c>
      <c r="I56" s="55">
        <f t="shared" si="3"/>
        <v>28.166699999999999</v>
      </c>
      <c r="J56" s="55">
        <f t="shared" si="3"/>
        <v>28.25</v>
      </c>
      <c r="K56" s="55">
        <f t="shared" si="3"/>
        <v>56.416666999999997</v>
      </c>
      <c r="L56" s="56">
        <f t="shared" si="3"/>
        <v>33.435099999999998</v>
      </c>
      <c r="M56" s="56">
        <f t="shared" si="3"/>
        <v>1.6482000000000001</v>
      </c>
      <c r="N56" s="56">
        <f t="shared" si="3"/>
        <v>35.083333332999999</v>
      </c>
      <c r="O56" s="89">
        <f t="shared" si="3"/>
        <v>6.6666999999999996</v>
      </c>
      <c r="P56" s="89">
        <f t="shared" si="3"/>
        <v>13.25</v>
      </c>
      <c r="Q56" s="89">
        <f t="shared" si="3"/>
        <v>19.916667</v>
      </c>
      <c r="R56" s="121">
        <f t="shared" si="3"/>
        <v>0</v>
      </c>
      <c r="S56" s="122">
        <f t="shared" si="3"/>
        <v>0</v>
      </c>
      <c r="T56" s="124">
        <f t="shared" si="3"/>
        <v>256.83333433299998</v>
      </c>
      <c r="U56" s="90"/>
      <c r="V56" s="90"/>
      <c r="W56" s="90"/>
      <c r="X56" s="90"/>
    </row>
    <row r="57" spans="1:24" ht="15.75" customHeight="1" x14ac:dyDescent="0.2"/>
    <row r="58" spans="1:24" ht="18.75" customHeight="1" x14ac:dyDescent="0.2">
      <c r="A58" s="58"/>
      <c r="B58" s="59" t="s">
        <v>71</v>
      </c>
      <c r="C58" s="60">
        <f t="shared" ref="C58:T58" si="4">SUM(C34,C35,C36,C37,C38,C39,C40,C41,C42,C43,C44,C45,C46,C47,C48,C49,C50,C51,C52,C53)</f>
        <v>53.452799999999996</v>
      </c>
      <c r="D58" s="60">
        <f t="shared" si="4"/>
        <v>7.6306000000000003</v>
      </c>
      <c r="E58" s="60">
        <f t="shared" si="4"/>
        <v>61.083334000000001</v>
      </c>
      <c r="F58" s="61">
        <f t="shared" si="4"/>
        <v>71.209199999999996</v>
      </c>
      <c r="G58" s="61">
        <f t="shared" si="4"/>
        <v>63.95750000000001</v>
      </c>
      <c r="H58" s="61">
        <f t="shared" si="4"/>
        <v>135.16666700000002</v>
      </c>
      <c r="I58" s="62">
        <f t="shared" si="4"/>
        <v>54.099099999999993</v>
      </c>
      <c r="J58" s="62">
        <f t="shared" si="4"/>
        <v>53.734300000000005</v>
      </c>
      <c r="K58" s="62">
        <f t="shared" si="4"/>
        <v>107.83333299999998</v>
      </c>
      <c r="L58" s="63">
        <f t="shared" si="4"/>
        <v>18.489599999999999</v>
      </c>
      <c r="M58" s="63">
        <f t="shared" si="4"/>
        <v>13.427000000000001</v>
      </c>
      <c r="N58" s="63">
        <f t="shared" si="4"/>
        <v>31.916665999999999</v>
      </c>
      <c r="O58" s="91">
        <f t="shared" si="4"/>
        <v>13.082699999999999</v>
      </c>
      <c r="P58" s="91">
        <f t="shared" si="4"/>
        <v>12.7507</v>
      </c>
      <c r="Q58" s="91">
        <f t="shared" si="4"/>
        <v>25.833334000000001</v>
      </c>
      <c r="R58" s="121">
        <f t="shared" si="4"/>
        <v>0</v>
      </c>
      <c r="S58" s="122">
        <f t="shared" si="4"/>
        <v>0</v>
      </c>
      <c r="T58" s="125">
        <f t="shared" si="4"/>
        <v>361.83333399999998</v>
      </c>
      <c r="U58" s="92">
        <f>SUM(U42,U50)</f>
        <v>5.9167000000000005</v>
      </c>
      <c r="V58" s="93">
        <f>SUM(V42,V50)</f>
        <v>1.8415885882099943</v>
      </c>
      <c r="W58" s="61">
        <f>SUM(W42,W50)</f>
        <v>4.0751114117900054</v>
      </c>
      <c r="X58" s="94"/>
    </row>
    <row r="59" spans="1:24" ht="15.75" customHeight="1" x14ac:dyDescent="0.2"/>
    <row r="60" spans="1:24" ht="15.75" customHeight="1" x14ac:dyDescent="0.25">
      <c r="A60" s="65" t="s">
        <v>72</v>
      </c>
      <c r="C60" s="66">
        <f t="shared" ref="C60:T60" si="5">C54+C56+C58</f>
        <v>76.952799999999996</v>
      </c>
      <c r="D60" s="66">
        <f t="shared" si="5"/>
        <v>7.6306000000000003</v>
      </c>
      <c r="E60" s="66">
        <f t="shared" si="5"/>
        <v>84.583334000000008</v>
      </c>
      <c r="F60" s="67">
        <f t="shared" si="5"/>
        <v>121.0698</v>
      </c>
      <c r="G60" s="67">
        <f t="shared" si="5"/>
        <v>136.0136</v>
      </c>
      <c r="H60" s="67">
        <f t="shared" si="5"/>
        <v>257.08333400000004</v>
      </c>
      <c r="I60" s="68">
        <f t="shared" si="5"/>
        <v>82.265799999999984</v>
      </c>
      <c r="J60" s="68">
        <f t="shared" si="5"/>
        <v>81.984300000000005</v>
      </c>
      <c r="K60" s="68">
        <f t="shared" si="5"/>
        <v>164.24999999999997</v>
      </c>
      <c r="L60" s="69">
        <f t="shared" si="5"/>
        <v>51.924700000000001</v>
      </c>
      <c r="M60" s="69">
        <f t="shared" si="5"/>
        <v>15.075200000000002</v>
      </c>
      <c r="N60" s="69">
        <f t="shared" si="5"/>
        <v>66.999999333000005</v>
      </c>
      <c r="O60" s="95">
        <f t="shared" si="5"/>
        <v>19.749399999999998</v>
      </c>
      <c r="P60" s="95">
        <f t="shared" si="5"/>
        <v>26.000700000000002</v>
      </c>
      <c r="Q60" s="95">
        <f t="shared" si="5"/>
        <v>45.750000999999997</v>
      </c>
      <c r="R60" s="126">
        <f t="shared" si="5"/>
        <v>0</v>
      </c>
      <c r="S60" s="127">
        <f t="shared" si="5"/>
        <v>0</v>
      </c>
      <c r="T60" s="128">
        <f t="shared" si="5"/>
        <v>618.66666833299996</v>
      </c>
      <c r="U60" s="96">
        <f>SUM(U42,U50)</f>
        <v>5.9167000000000005</v>
      </c>
      <c r="V60" s="66">
        <f>SUM(V42,V50)</f>
        <v>1.8415885882099943</v>
      </c>
      <c r="W60" s="67">
        <f>SUM(W42,W50)</f>
        <v>4.0751114117900054</v>
      </c>
      <c r="X60" s="97"/>
    </row>
    <row r="61" spans="1:24" ht="15.75" customHeight="1" x14ac:dyDescent="0.2"/>
    <row r="62" spans="1:24" ht="15.75" customHeight="1" x14ac:dyDescent="0.2"/>
    <row r="63" spans="1:24" ht="15.75" customHeight="1" x14ac:dyDescent="0.2">
      <c r="U63" s="98"/>
    </row>
    <row r="64" spans="1:2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1:X1"/>
    <mergeCell ref="L2:N2"/>
    <mergeCell ref="O2:Q2"/>
    <mergeCell ref="C2:E2"/>
    <mergeCell ref="A2:B2"/>
    <mergeCell ref="I2:K2"/>
    <mergeCell ref="A20:X20"/>
    <mergeCell ref="A33:X33"/>
    <mergeCell ref="F2:H2"/>
    <mergeCell ref="A5:X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Semaine du 6 au 17 avril</vt:lpstr>
      <vt:lpstr>Heures et proportions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Administration</cp:lastModifiedBy>
  <dcterms:created xsi:type="dcterms:W3CDTF">2026-04-30T15:20:47Z</dcterms:created>
  <dcterms:modified xsi:type="dcterms:W3CDTF">2026-05-12T17:37:08Z</dcterms:modified>
</cp:coreProperties>
</file>